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THÀNH VIÊN" sheetId="2" state="visible" r:id="rId2"/>
    <sheet name="CẤU HÌNH" sheetId="3" state="visible" r:id="rId3"/>
    <sheet name="ĐĂNG KÝ" sheetId="4" state="visible" r:id="rId4"/>
    <sheet name="HỒ SƠ VKF" sheetId="5" state="visible" r:id="rId5"/>
    <sheet name="ĐỘI" sheetId="6" state="visible" r:id="rId6"/>
    <sheet name="Provider" sheetId="7" state="visible" r:id="rId7"/>
    <sheet name="CHI PHÍ" sheetId="8" state="visible" r:id="rId8"/>
    <sheet name="LỊCH TRÌNH" sheetId="9" state="visible" r:id="rId9"/>
    <sheet name="TỔNG QU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dd/mm/yyyy hh:mm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sz val="10"/>
    </font>
    <font>
      <name val="Arial"/>
      <sz val="10"/>
    </font>
    <font>
      <name val="Arial"/>
      <b val="1"/>
      <color rgb="FF1F3864"/>
      <sz val="11"/>
    </font>
    <font>
      <name val="Arial"/>
      <b val="1"/>
      <color rgb="FFFFFFFF"/>
      <sz val="10"/>
    </font>
    <font>
      <name val="Arial"/>
      <i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44546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3" fontId="3" fillId="6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66" fontId="3" fillId="4" borderId="1" applyAlignment="1" pivotButton="0" quotePrefix="0" xfId="0">
      <alignment vertical="center"/>
    </xf>
    <xf numFmtId="167" fontId="3" fillId="5" borderId="1" applyAlignment="1" pivotButton="0" quotePrefix="0" xfId="0">
      <alignment vertical="center"/>
    </xf>
    <xf numFmtId="165" fontId="3" fillId="5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165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60" customWidth="1" min="3" max="3"/>
    <col width="18" customWidth="1" min="4" max="4"/>
    <col width="30" customWidth="1" min="5" max="5"/>
  </cols>
  <sheetData>
    <row r="1" ht="24" customHeight="1">
      <c r="A1" s="1" t="inlineStr">
        <is>
          <t>SHAKAIJIN — VIKC 2026 · ĐĂNG KÝ &amp; DỰ TOÁN CHUYẾN ĐI</t>
        </is>
      </c>
    </row>
    <row r="3">
      <c r="B3" s="2" t="inlineStr">
        <is>
          <t>1ST VIETNAM INTERNATIONAL KENDO CHAMPIONSHIPS 2026</t>
        </is>
      </c>
      <c r="C3" s="3" t="inlineStr"/>
    </row>
    <row r="4">
      <c r="B4" s="2" t="inlineStr">
        <is>
          <t>Giải đấu</t>
        </is>
      </c>
      <c r="C4" s="3" t="inlineStr">
        <is>
          <t>19–22/11/2026</t>
        </is>
      </c>
    </row>
    <row r="5">
      <c r="B5" s="2" t="inlineStr">
        <is>
          <t>Địa điểm</t>
        </is>
      </c>
      <c r="C5" s="3" t="inlineStr">
        <is>
          <t>Trung tâm Hội nghị Quốc tế Vesak, Tam Chúc, Ninh Bình</t>
        </is>
      </c>
    </row>
    <row r="6">
      <c r="B6" s="2" t="inlineStr">
        <is>
          <t>Hà Nội — giao lưu võ đường</t>
        </is>
      </c>
      <c r="C6" s="3" t="inlineStr">
        <is>
          <t>23–29/11/2026</t>
        </is>
      </c>
    </row>
    <row r="7">
      <c r="B7" s="2" t="inlineStr">
        <is>
          <t>Đơn vị tổ chức</t>
        </is>
      </c>
      <c r="C7" s="3" t="inlineStr">
        <is>
          <t>Liên đoàn Kendo Việt Nam (VKF)</t>
        </is>
      </c>
    </row>
    <row r="9">
      <c r="A9" s="4" t="inlineStr">
        <is>
          <t>CÁCH SỬ DỤNG</t>
        </is>
      </c>
    </row>
    <row r="10" ht="16" customHeight="1">
      <c r="B10" s="5" t="inlineStr">
        <is>
          <t>1. Mở tab ĐĂNG KÝ. Mỗi thành viên điền vào DÒNG CỦA MÌNH.</t>
        </is>
      </c>
    </row>
    <row r="11" ht="16" customHeight="1">
      <c r="B11" s="5" t="inlineStr">
        <is>
          <t>2. Chọn Mã thành viên ở cột A — Họ tên, Kyu/Dan, tư cách VKF, SĐT, email sẽ tự điền.</t>
        </is>
      </c>
    </row>
    <row r="12" ht="16" customHeight="1">
      <c r="B12" s="5" t="inlineStr">
        <is>
          <t>3. Chọn Trạng thái, đánh dấu Tham gia, nhập Điểm đi, Ngày/Giờ đến-về (dự kiến).</t>
        </is>
      </c>
    </row>
    <row r="13" ht="16" customHeight="1">
      <c r="B13" s="5" t="inlineStr">
        <is>
          <t>4. Chọn hạng mục: Thi Dan?, Seminar?, Godo Keiko?, Team-3, Team-5, Giao lưu HN.</t>
        </is>
      </c>
    </row>
    <row r="14" ht="16" customHeight="1">
      <c r="B14" s="5" t="inlineStr">
        <is>
          <t>5. Chọn võ đường muốn giao lưu (Yushinkai / Thăng Long / Hà Nội / Yuei — chọn nhiều).</t>
        </is>
      </c>
    </row>
    <row r="15" ht="16" customHeight="1">
      <c r="B15" s="5" t="inlineStr">
        <is>
          <t>6. Chọn Loại phòng; admin phân đội ở tab ĐỘI rồi chọn Mã đội.</t>
        </is>
      </c>
    </row>
    <row r="16" ht="16" customHeight="1">
      <c r="B16" s="5" t="inlineStr">
        <is>
          <t>7. Nếu có Thi Dan?, điền tab HỒ SƠ VKF.</t>
        </is>
      </c>
    </row>
    <row r="17" ht="16" customHeight="1">
      <c r="B17" s="5" t="inlineStr">
        <is>
          <t>8. Xem Chi phí dự kiến (tự tính — Phase 5). Cập nhật Đã thanh toán.</t>
        </is>
      </c>
    </row>
    <row r="18" ht="16" customHeight="1">
      <c r="B18" s="5" t="inlineStr">
        <is>
          <t>9. Theo dõi mốc thời gian và chương trình ở tab LỊCH TRÌNH.</t>
        </is>
      </c>
    </row>
    <row r="20">
      <c r="A20" s="4" t="inlineStr">
        <is>
          <t>QUY ƯỚC MÀU</t>
        </is>
      </c>
    </row>
    <row r="21">
      <c r="B21" s="6" t="inlineStr">
        <is>
          <t>Vàng</t>
        </is>
      </c>
      <c r="C21" s="3" t="inlineStr">
        <is>
          <t>Thành viên tự nhập</t>
        </is>
      </c>
    </row>
    <row r="22">
      <c r="B22" s="7" t="inlineStr">
        <is>
          <t>Xám</t>
        </is>
      </c>
      <c r="C22" s="3" t="inlineStr">
        <is>
          <t>Tự động — KHÔNG sửa</t>
        </is>
      </c>
    </row>
    <row r="23">
      <c r="B23" s="8" t="inlineStr">
        <is>
          <t>Xanh</t>
        </is>
      </c>
      <c r="C23" s="3" t="inlineStr">
        <is>
          <t>Ban tổ chức / admin nhập (CẤU HÌNH, Provider, ĐỘI)</t>
        </is>
      </c>
    </row>
    <row r="25">
      <c r="A25" s="4" t="inlineStr">
        <is>
          <t>HẠN CHÓT &amp; THANH TOÁN</t>
        </is>
      </c>
    </row>
    <row r="26">
      <c r="B26" s="2" t="inlineStr">
        <is>
          <t>Hạn đăng ký Kyu/Dan &amp; đội hình</t>
        </is>
      </c>
      <c r="C26" s="3" t="inlineStr">
        <is>
          <t>Thứ Ba 20/10/2026</t>
        </is>
      </c>
    </row>
    <row r="27">
      <c r="B27" s="2" t="inlineStr">
        <is>
          <t>Hạn hoàn thành phí tham dự</t>
        </is>
      </c>
      <c r="C27" s="3" t="inlineStr">
        <is>
          <t>25/10/2026</t>
        </is>
      </c>
    </row>
    <row r="28">
      <c r="B28" s="2" t="inlineStr">
        <is>
          <t>Tài khoản</t>
        </is>
      </c>
      <c r="C28" s="3" t="inlineStr">
        <is>
          <t>Liên đoàn Kendo Việt Nam — BIDV 8680065219</t>
        </is>
      </c>
    </row>
    <row r="29">
      <c r="B29" s="2" t="inlineStr">
        <is>
          <t>Cú pháp chuyển khoản</t>
        </is>
      </c>
      <c r="C29" s="3" t="inlineStr">
        <is>
          <t>Tên đội_1vikc</t>
        </is>
      </c>
    </row>
    <row r="30">
      <c r="B30" s="2" t="inlineStr">
        <is>
          <t>Email hồ sơ</t>
        </is>
      </c>
      <c r="C30" s="3" t="inlineStr">
        <is>
          <t>vikc@vietnamkendo.com · info@kendo.vn</t>
        </is>
      </c>
    </row>
    <row r="32">
      <c r="A32" s="4" t="inlineStr">
        <is>
          <t>LƯU Ý CHO ADMIN</t>
        </is>
      </c>
    </row>
    <row r="33" ht="28" customHeight="1">
      <c r="B33" s="5" t="inlineStr">
        <is>
          <t>• Sheet dùng chung: ai có link đều sửa được. Vào Data → Protect sheets and ranges để giới hạn quyền sửa CẤU HÌNH, Provider, ĐỘI, TỔNG QUAN chỉ với tài khoản admin.</t>
        </is>
      </c>
    </row>
    <row r="34" ht="28" customHeight="1">
      <c r="B34" s="5" t="inlineStr">
        <is>
          <t>• Cột TRUE/FALSE có thể chuyển thành checkbox: chọn vùng → Insert → Checkbox (công thức vẫn chạy).</t>
        </is>
      </c>
    </row>
    <row r="35" ht="28" customHeight="1">
      <c r="B35" s="5" t="inlineStr">
        <is>
          <t>• Ngày dùng date picker của Google Sheets; giờ nhập HH:MM.</t>
        </is>
      </c>
    </row>
    <row r="36" ht="28" customHeight="1">
      <c r="B36" s="5" t="inlineStr">
        <is>
          <t>• Sheet này KHÔNG liên kết với 'Shakaijin - member and money'.</t>
        </is>
      </c>
    </row>
    <row r="37" ht="28" customHeight="1">
      <c r="B37" s="5" t="inlineStr">
        <is>
          <t>• Lưu ý: Khách sạn Tam Chúc (VIKC 19–22) do VKF cung cấp — chọn Loại phòng, không chọn ở Provider. Mục 'Khách sạn Hà Nội' ở Provider chỉ dùng cho chặng Hà Nội (23–29/11).</t>
        </is>
      </c>
    </row>
  </sheetData>
  <mergeCells count="27">
    <mergeCell ref="B37:E37"/>
    <mergeCell ref="C22:E22"/>
    <mergeCell ref="B15:E15"/>
    <mergeCell ref="B33:E33"/>
    <mergeCell ref="A1:E1"/>
    <mergeCell ref="C21:E21"/>
    <mergeCell ref="B36:E36"/>
    <mergeCell ref="C27:E27"/>
    <mergeCell ref="B35:E35"/>
    <mergeCell ref="C23:E23"/>
    <mergeCell ref="A25:E25"/>
    <mergeCell ref="B16:E16"/>
    <mergeCell ref="B18:E18"/>
    <mergeCell ref="C28:E28"/>
    <mergeCell ref="B12:E12"/>
    <mergeCell ref="B11:E11"/>
    <mergeCell ref="A32:E32"/>
    <mergeCell ref="C30:E30"/>
    <mergeCell ref="B14:E14"/>
    <mergeCell ref="B17:E17"/>
    <mergeCell ref="A20:E20"/>
    <mergeCell ref="B13:E13"/>
    <mergeCell ref="C26:E26"/>
    <mergeCell ref="C29:E29"/>
    <mergeCell ref="B10:E10"/>
    <mergeCell ref="A9:E9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0" customWidth="1" min="4" max="4"/>
    <col width="13" customWidth="1" min="5" max="5"/>
    <col width="11" customWidth="1" min="6" max="6"/>
    <col width="30" customWidth="1" min="7" max="7"/>
    <col width="15" customWidth="1" min="8" max="8"/>
    <col width="16" customWidth="1" min="9" max="9"/>
    <col width="24" customWidth="1" min="10" max="10"/>
  </cols>
  <sheetData>
    <row r="1" ht="24" customHeight="1">
      <c r="A1" s="1" t="inlineStr">
        <is>
          <t>THÀNH VIÊN — SHAKAIJIN KENDO TEAM</t>
        </is>
      </c>
    </row>
    <row r="2" ht="30" customHeight="1">
      <c r="A2" s="9" t="inlineStr">
        <is>
          <t>Mã thành viên</t>
        </is>
      </c>
      <c r="B2" s="9" t="inlineStr">
        <is>
          <t>Mã VKF</t>
        </is>
      </c>
      <c r="C2" s="9" t="inlineStr">
        <is>
          <t>Họ tên</t>
        </is>
      </c>
      <c r="D2" s="9" t="inlineStr">
        <is>
          <t>Giới tính</t>
        </is>
      </c>
      <c r="E2" s="9" t="inlineStr">
        <is>
          <t>Ngày sinh</t>
        </is>
      </c>
      <c r="F2" s="9" t="inlineStr">
        <is>
          <t>Kyu/Dan</t>
        </is>
      </c>
      <c r="G2" s="9" t="inlineStr">
        <is>
          <t>Email</t>
        </is>
      </c>
      <c r="H2" s="9" t="inlineStr">
        <is>
          <t>SĐT</t>
        </is>
      </c>
      <c r="I2" s="9" t="inlineStr">
        <is>
          <t>Thành viên VKF?</t>
        </is>
      </c>
      <c r="J2" s="9" t="inlineStr">
        <is>
          <t>Ghi chú</t>
        </is>
      </c>
    </row>
    <row r="3">
      <c r="A3" s="10" t="inlineStr">
        <is>
          <t>SKJ-198</t>
        </is>
      </c>
      <c r="B3" s="10" t="inlineStr">
        <is>
          <t>251000156</t>
        </is>
      </c>
      <c r="C3" s="10" t="inlineStr">
        <is>
          <t>Trương Hứa Dân</t>
        </is>
      </c>
      <c r="D3" s="10" t="inlineStr">
        <is>
          <t>Nam</t>
        </is>
      </c>
      <c r="E3" s="11" t="n">
        <v>34487</v>
      </c>
      <c r="F3" s="10" t="inlineStr">
        <is>
          <t>4 dan</t>
        </is>
      </c>
      <c r="G3" s="10" t="inlineStr">
        <is>
          <t>l3un.kun@gmail.com</t>
        </is>
      </c>
      <c r="H3" s="10" t="inlineStr">
        <is>
          <t>0369252359</t>
        </is>
      </c>
      <c r="I3" s="7">
        <f>IF(OR(B3="-",B3=""),"Không","Có")</f>
        <v/>
      </c>
      <c r="J3" s="6" t="inlineStr"/>
    </row>
    <row r="4">
      <c r="A4" s="10" t="inlineStr">
        <is>
          <t>SKJ-201</t>
        </is>
      </c>
      <c r="B4" s="10" t="inlineStr">
        <is>
          <t>-</t>
        </is>
      </c>
      <c r="C4" s="10" t="inlineStr">
        <is>
          <t>Ngô Đình Quốc Tuấn</t>
        </is>
      </c>
      <c r="D4" s="10" t="inlineStr">
        <is>
          <t>Nam</t>
        </is>
      </c>
      <c r="E4" s="11" t="n"/>
      <c r="F4" s="10" t="inlineStr">
        <is>
          <t>3 dan</t>
        </is>
      </c>
      <c r="G4" s="10" t="inlineStr"/>
      <c r="H4" s="10" t="inlineStr"/>
      <c r="I4" s="7">
        <f>IF(OR(B4="-",B4=""),"Không","Có")</f>
        <v/>
      </c>
      <c r="J4" s="6" t="inlineStr"/>
    </row>
    <row r="5">
      <c r="A5" s="10" t="inlineStr">
        <is>
          <t>SKJ-023</t>
        </is>
      </c>
      <c r="B5" s="10" t="inlineStr">
        <is>
          <t>251000150</t>
        </is>
      </c>
      <c r="C5" s="10" t="inlineStr">
        <is>
          <t>Nguyễn Trương Hải Huy</t>
        </is>
      </c>
      <c r="D5" s="10" t="inlineStr">
        <is>
          <t>Nam</t>
        </is>
      </c>
      <c r="E5" s="11" t="n">
        <v>37943</v>
      </c>
      <c r="F5" s="10" t="inlineStr">
        <is>
          <t>2 dan</t>
        </is>
      </c>
      <c r="G5" s="10" t="inlineStr">
        <is>
          <t>haihuynguyen18112003@gmail.com</t>
        </is>
      </c>
      <c r="H5" s="10" t="inlineStr">
        <is>
          <t>0906986055</t>
        </is>
      </c>
      <c r="I5" s="7">
        <f>IF(OR(B5="-",B5=""),"Không","Có")</f>
        <v/>
      </c>
      <c r="J5" s="6" t="inlineStr"/>
    </row>
    <row r="6">
      <c r="A6" s="10" t="inlineStr">
        <is>
          <t>SKJ-960</t>
        </is>
      </c>
      <c r="B6" s="10" t="inlineStr">
        <is>
          <t>251000158</t>
        </is>
      </c>
      <c r="C6" s="10" t="inlineStr">
        <is>
          <t>Hoàng Duy</t>
        </is>
      </c>
      <c r="D6" s="10" t="inlineStr">
        <is>
          <t>Nam</t>
        </is>
      </c>
      <c r="E6" s="11" t="n">
        <v>36441</v>
      </c>
      <c r="F6" s="10" t="inlineStr">
        <is>
          <t>1 dan</t>
        </is>
      </c>
      <c r="G6" s="10" t="inlineStr">
        <is>
          <t>hoangduyno09@gmail.com</t>
        </is>
      </c>
      <c r="H6" s="10" t="inlineStr">
        <is>
          <t>0769743467</t>
        </is>
      </c>
      <c r="I6" s="7">
        <f>IF(OR(B6="-",B6=""),"Không","Có")</f>
        <v/>
      </c>
      <c r="J6" s="6" t="inlineStr"/>
    </row>
    <row r="7">
      <c r="A7" s="10" t="inlineStr">
        <is>
          <t>SKJ-494</t>
        </is>
      </c>
      <c r="B7" s="10" t="inlineStr">
        <is>
          <t>260600326</t>
        </is>
      </c>
      <c r="C7" s="10" t="inlineStr">
        <is>
          <t>Tăng Hưng Bình</t>
        </is>
      </c>
      <c r="D7" s="10" t="inlineStr">
        <is>
          <t>Nam</t>
        </is>
      </c>
      <c r="E7" s="11" t="n">
        <v>36260</v>
      </c>
      <c r="F7" s="10" t="inlineStr">
        <is>
          <t>1 kyu</t>
        </is>
      </c>
      <c r="G7" s="10" t="inlineStr">
        <is>
          <t>tanghungbinh104@gmail.com</t>
        </is>
      </c>
      <c r="H7" s="10" t="inlineStr">
        <is>
          <t>0988473159</t>
        </is>
      </c>
      <c r="I7" s="7">
        <f>IF(OR(B7="-",B7=""),"Không","Có")</f>
        <v/>
      </c>
      <c r="J7" s="6" t="inlineStr"/>
    </row>
    <row r="8">
      <c r="A8" s="10" t="inlineStr">
        <is>
          <t>SKJ-275</t>
        </is>
      </c>
      <c r="B8" s="10" t="inlineStr">
        <is>
          <t>251000154</t>
        </is>
      </c>
      <c r="C8" s="10" t="inlineStr">
        <is>
          <t>Ngô Mai Ngọc Hân</t>
        </is>
      </c>
      <c r="D8" s="10" t="inlineStr">
        <is>
          <t>Nữ</t>
        </is>
      </c>
      <c r="E8" s="11" t="n">
        <v>37270</v>
      </c>
      <c r="F8" s="10" t="inlineStr">
        <is>
          <t>1 dan</t>
        </is>
      </c>
      <c r="G8" s="10" t="inlineStr">
        <is>
          <t>hanngomaingoc14@gmail.com</t>
        </is>
      </c>
      <c r="H8" s="10" t="inlineStr">
        <is>
          <t>0962273500</t>
        </is>
      </c>
      <c r="I8" s="7">
        <f>IF(OR(B8="-",B8=""),"Không","Có")</f>
        <v/>
      </c>
      <c r="J8" s="6" t="inlineStr"/>
    </row>
    <row r="9">
      <c r="A9" s="10" t="inlineStr">
        <is>
          <t>SKJ-746</t>
        </is>
      </c>
      <c r="B9" s="10" t="inlineStr">
        <is>
          <t>251000143</t>
        </is>
      </c>
      <c r="C9" s="10" t="inlineStr">
        <is>
          <t>Ngô Quốc Bảo</t>
        </is>
      </c>
      <c r="D9" s="10" t="inlineStr">
        <is>
          <t>Nam</t>
        </is>
      </c>
      <c r="E9" s="11" t="n">
        <v>36181</v>
      </c>
      <c r="F9" s="10" t="inlineStr">
        <is>
          <t>1 dan</t>
        </is>
      </c>
      <c r="G9" s="10" t="inlineStr">
        <is>
          <t>pandangoo2101@gmail.com</t>
        </is>
      </c>
      <c r="H9" s="10" t="inlineStr">
        <is>
          <t>0907687015</t>
        </is>
      </c>
      <c r="I9" s="7">
        <f>IF(OR(B9="-",B9=""),"Không","Có")</f>
        <v/>
      </c>
      <c r="J9" s="6" t="inlineStr"/>
    </row>
    <row r="10">
      <c r="A10" s="10" t="inlineStr">
        <is>
          <t>SKJ-930</t>
        </is>
      </c>
      <c r="B10" s="10" t="inlineStr">
        <is>
          <t>251000155</t>
        </is>
      </c>
      <c r="C10" s="10" t="inlineStr">
        <is>
          <t>Nguyễn Võ Huyền Vi</t>
        </is>
      </c>
      <c r="D10" s="10" t="inlineStr">
        <is>
          <t>Nữ</t>
        </is>
      </c>
      <c r="E10" s="11" t="n">
        <v>37164</v>
      </c>
      <c r="F10" s="10" t="inlineStr">
        <is>
          <t>1 dan</t>
        </is>
      </c>
      <c r="G10" s="10" t="inlineStr">
        <is>
          <t>hvinguyen.309@gmail.com</t>
        </is>
      </c>
      <c r="H10" s="10" t="inlineStr">
        <is>
          <t>0703317105</t>
        </is>
      </c>
      <c r="I10" s="7">
        <f>IF(OR(B10="-",B10=""),"Không","Có")</f>
        <v/>
      </c>
      <c r="J10" s="6" t="inlineStr"/>
    </row>
    <row r="11">
      <c r="A11" s="10" t="inlineStr">
        <is>
          <t>SKJ-281</t>
        </is>
      </c>
      <c r="B11" s="10" t="inlineStr">
        <is>
          <t>251000144</t>
        </is>
      </c>
      <c r="C11" s="10" t="inlineStr">
        <is>
          <t>Phùng Thanh Nhật Uyên</t>
        </is>
      </c>
      <c r="D11" s="10" t="inlineStr">
        <is>
          <t>Nữ</t>
        </is>
      </c>
      <c r="E11" s="11" t="n">
        <v>34415</v>
      </c>
      <c r="F11" s="10" t="inlineStr">
        <is>
          <t>1 dan</t>
        </is>
      </c>
      <c r="G11" s="10" t="inlineStr">
        <is>
          <t>ether.sigmata@gmail.com</t>
        </is>
      </c>
      <c r="H11" s="10" t="inlineStr">
        <is>
          <t>0908049049</t>
        </is>
      </c>
      <c r="I11" s="7">
        <f>IF(OR(B11="-",B11=""),"Không","Có")</f>
        <v/>
      </c>
      <c r="J11" s="6" t="inlineStr"/>
    </row>
    <row r="12">
      <c r="A12" s="10" t="inlineStr">
        <is>
          <t>SKJ-826</t>
        </is>
      </c>
      <c r="B12" s="10" t="inlineStr">
        <is>
          <t>251000168</t>
        </is>
      </c>
      <c r="C12" s="10" t="inlineStr">
        <is>
          <t>Trần Bảo Tín</t>
        </is>
      </c>
      <c r="D12" s="10" t="inlineStr">
        <is>
          <t>Nam</t>
        </is>
      </c>
      <c r="E12" s="11" t="n">
        <v>35094</v>
      </c>
      <c r="F12" s="10" t="inlineStr">
        <is>
          <t>1 dan</t>
        </is>
      </c>
      <c r="G12" s="10" t="inlineStr">
        <is>
          <t>tbaotin96@gmail.com</t>
        </is>
      </c>
      <c r="H12" s="10" t="inlineStr">
        <is>
          <t>0338620648</t>
        </is>
      </c>
      <c r="I12" s="7">
        <f>IF(OR(B12="-",B12=""),"Không","Có")</f>
        <v/>
      </c>
      <c r="J12" s="6" t="inlineStr"/>
    </row>
    <row r="13">
      <c r="A13" s="10" t="inlineStr">
        <is>
          <t>SKJ-195</t>
        </is>
      </c>
      <c r="B13" s="10" t="inlineStr">
        <is>
          <t>251000151</t>
        </is>
      </c>
      <c r="C13" s="10" t="inlineStr">
        <is>
          <t>Trần Lê Vĩnh Huy</t>
        </is>
      </c>
      <c r="D13" s="10" t="inlineStr">
        <is>
          <t>Nam</t>
        </is>
      </c>
      <c r="E13" s="11" t="n">
        <v>35473</v>
      </c>
      <c r="F13" s="10" t="inlineStr">
        <is>
          <t>1 dan</t>
        </is>
      </c>
      <c r="G13" s="10" t="inlineStr">
        <is>
          <t>huytranle13@gmail.com</t>
        </is>
      </c>
      <c r="H13" s="10" t="inlineStr">
        <is>
          <t>0961430298</t>
        </is>
      </c>
      <c r="I13" s="7">
        <f>IF(OR(B13="-",B13=""),"Không","Có")</f>
        <v/>
      </c>
      <c r="J13" s="6" t="inlineStr"/>
    </row>
    <row r="14">
      <c r="A14" s="10" t="inlineStr">
        <is>
          <t>SKJ-619</t>
        </is>
      </c>
      <c r="B14" s="10" t="inlineStr">
        <is>
          <t>251000163</t>
        </is>
      </c>
      <c r="C14" s="10" t="inlineStr">
        <is>
          <t>Nguyễn Đức Khải</t>
        </is>
      </c>
      <c r="D14" s="10" t="inlineStr">
        <is>
          <t>Nam</t>
        </is>
      </c>
      <c r="E14" s="11" t="n"/>
      <c r="F14" s="10" t="inlineStr">
        <is>
          <t>1 dan</t>
        </is>
      </c>
      <c r="G14" s="10" t="inlineStr"/>
      <c r="H14" s="10" t="inlineStr"/>
      <c r="I14" s="7">
        <f>IF(OR(B14="-",B14=""),"Không","Có")</f>
        <v/>
      </c>
      <c r="J14" s="6" t="inlineStr"/>
    </row>
    <row r="15">
      <c r="A15" s="10" t="inlineStr">
        <is>
          <t>SKJ-785</t>
        </is>
      </c>
      <c r="B15" s="10" t="inlineStr">
        <is>
          <t>251000113</t>
        </is>
      </c>
      <c r="C15" s="10" t="inlineStr">
        <is>
          <t>Nguyễn Thị Bích Liên</t>
        </is>
      </c>
      <c r="D15" s="10" t="inlineStr">
        <is>
          <t>Nữ</t>
        </is>
      </c>
      <c r="E15" s="11" t="n">
        <v>32924</v>
      </c>
      <c r="F15" s="10" t="inlineStr">
        <is>
          <t>1 dan</t>
        </is>
      </c>
      <c r="G15" s="10" t="inlineStr">
        <is>
          <t>nguyenlien2191@gmail.com</t>
        </is>
      </c>
      <c r="H15" s="10" t="inlineStr">
        <is>
          <t>0343871468</t>
        </is>
      </c>
      <c r="I15" s="7">
        <f>IF(OR(B15="-",B15=""),"Không","Có")</f>
        <v/>
      </c>
      <c r="J15" s="6" t="inlineStr"/>
    </row>
    <row r="16">
      <c r="A16" s="10" t="inlineStr">
        <is>
          <t>SKJ-291</t>
        </is>
      </c>
      <c r="B16" s="10" t="inlineStr">
        <is>
          <t>251000149</t>
        </is>
      </c>
      <c r="C16" s="10" t="inlineStr">
        <is>
          <t>Nguyễn Thị Ngọc Diễm</t>
        </is>
      </c>
      <c r="D16" s="10" t="inlineStr">
        <is>
          <t>Nữ</t>
        </is>
      </c>
      <c r="E16" s="11" t="n"/>
      <c r="F16" s="10" t="inlineStr">
        <is>
          <t>1 dan</t>
        </is>
      </c>
      <c r="G16" s="10" t="inlineStr"/>
      <c r="H16" s="10" t="inlineStr"/>
      <c r="I16" s="7">
        <f>IF(OR(B16="-",B16=""),"Không","Có")</f>
        <v/>
      </c>
      <c r="J16" s="6" t="inlineStr"/>
    </row>
    <row r="17">
      <c r="A17" s="10" t="inlineStr">
        <is>
          <t>SKJ-108</t>
        </is>
      </c>
      <c r="B17" s="10" t="inlineStr">
        <is>
          <t>251000161</t>
        </is>
      </c>
      <c r="C17" s="10" t="inlineStr">
        <is>
          <t>Đào Duy Khoa</t>
        </is>
      </c>
      <c r="D17" s="10" t="inlineStr">
        <is>
          <t>Nam</t>
        </is>
      </c>
      <c r="E17" s="11" t="n">
        <v>35401</v>
      </c>
      <c r="F17" s="10" t="inlineStr">
        <is>
          <t>1 dan</t>
        </is>
      </c>
      <c r="G17" s="10" t="inlineStr">
        <is>
          <t>khoadduy@gmail.com</t>
        </is>
      </c>
      <c r="H17" s="10" t="inlineStr">
        <is>
          <t>0911569711</t>
        </is>
      </c>
      <c r="I17" s="7">
        <f>IF(OR(B17="-",B17=""),"Không","Có")</f>
        <v/>
      </c>
      <c r="J17" s="6" t="inlineStr"/>
    </row>
    <row r="18">
      <c r="A18" s="10" t="inlineStr">
        <is>
          <t>SKJ-109</t>
        </is>
      </c>
      <c r="B18" s="10" t="inlineStr">
        <is>
          <t>260600321</t>
        </is>
      </c>
      <c r="C18" s="10" t="inlineStr">
        <is>
          <t>Nguyễn Thị Cẩm Tú</t>
        </is>
      </c>
      <c r="D18" s="10" t="inlineStr">
        <is>
          <t>Nữ</t>
        </is>
      </c>
      <c r="E18" s="11" t="n">
        <v>35577</v>
      </c>
      <c r="F18" s="10" t="inlineStr">
        <is>
          <t>-</t>
        </is>
      </c>
      <c r="G18" s="10" t="inlineStr">
        <is>
          <t>Nguyen28.w@gmail.com</t>
        </is>
      </c>
      <c r="H18" s="10" t="inlineStr">
        <is>
          <t>0866195026</t>
        </is>
      </c>
      <c r="I18" s="7">
        <f>IF(OR(B18="-",B18=""),"Không","Có")</f>
        <v/>
      </c>
      <c r="J18" s="6" t="inlineStr"/>
    </row>
    <row r="19">
      <c r="A19" s="10" t="inlineStr">
        <is>
          <t>SKJ-088</t>
        </is>
      </c>
      <c r="B19" s="10" t="inlineStr">
        <is>
          <t>260600322</t>
        </is>
      </c>
      <c r="C19" s="10" t="inlineStr">
        <is>
          <t>Nguyễn Thị Trà My</t>
        </is>
      </c>
      <c r="D19" s="10" t="inlineStr">
        <is>
          <t>Nữ</t>
        </is>
      </c>
      <c r="E19" s="11" t="n">
        <v>33725</v>
      </c>
      <c r="F19" s="10" t="inlineStr">
        <is>
          <t>-</t>
        </is>
      </c>
      <c r="G19" s="10" t="inlineStr">
        <is>
          <t>huixin2688@gmail.com</t>
        </is>
      </c>
      <c r="H19" s="10" t="inlineStr">
        <is>
          <t>0763265388</t>
        </is>
      </c>
      <c r="I19" s="7">
        <f>IF(OR(B19="-",B19=""),"Không","Có")</f>
        <v/>
      </c>
      <c r="J19" s="6" t="inlineStr"/>
    </row>
    <row r="20">
      <c r="A20" s="10" t="inlineStr">
        <is>
          <t>SKJ-036</t>
        </is>
      </c>
      <c r="B20" s="10" t="inlineStr">
        <is>
          <t>260600325</t>
        </is>
      </c>
      <c r="C20" s="10" t="inlineStr">
        <is>
          <t>Nguyễn Thuý An</t>
        </is>
      </c>
      <c r="D20" s="10" t="inlineStr">
        <is>
          <t>Nữ</t>
        </is>
      </c>
      <c r="E20" s="11" t="n">
        <v>38332</v>
      </c>
      <c r="F20" s="10" t="inlineStr">
        <is>
          <t>-</t>
        </is>
      </c>
      <c r="G20" s="10" t="inlineStr">
        <is>
          <t>alice.anthuynguyen@gmail.com</t>
        </is>
      </c>
      <c r="H20" s="10" t="inlineStr">
        <is>
          <t>0985063466</t>
        </is>
      </c>
      <c r="I20" s="7">
        <f>IF(OR(B20="-",B20=""),"Không","Có")</f>
        <v/>
      </c>
      <c r="J20" s="6" t="inlineStr"/>
    </row>
    <row r="21">
      <c r="A21" s="10" t="inlineStr">
        <is>
          <t>SKJ-074</t>
        </is>
      </c>
      <c r="B21" s="10" t="inlineStr"/>
      <c r="C21" s="10" t="inlineStr">
        <is>
          <t>Nguyễn Ngọc Hân</t>
        </is>
      </c>
      <c r="D21" s="10" t="inlineStr">
        <is>
          <t>Nữ</t>
        </is>
      </c>
      <c r="E21" s="11" t="n">
        <v>37969</v>
      </c>
      <c r="F21" s="10" t="inlineStr">
        <is>
          <t>-</t>
        </is>
      </c>
      <c r="G21" s="10" t="inlineStr">
        <is>
          <t>nnh14122003@gmail.com</t>
        </is>
      </c>
      <c r="H21" s="10" t="inlineStr">
        <is>
          <t>0903872644</t>
        </is>
      </c>
      <c r="I21" s="7">
        <f>IF(OR(B21="-",B21=""),"Không","Có")</f>
        <v/>
      </c>
      <c r="J21" s="6" t="inlineStr"/>
    </row>
    <row r="22">
      <c r="A22" s="10" t="inlineStr">
        <is>
          <t>SKJ-235</t>
        </is>
      </c>
      <c r="B22" s="10" t="inlineStr"/>
      <c r="C22" s="10" t="inlineStr">
        <is>
          <t>Hà My Phụng Vỹ</t>
        </is>
      </c>
      <c r="D22" s="10" t="inlineStr">
        <is>
          <t>Nữ</t>
        </is>
      </c>
      <c r="E22" s="11" t="n"/>
      <c r="F22" s="10" t="inlineStr">
        <is>
          <t>-</t>
        </is>
      </c>
      <c r="G22" s="10" t="inlineStr"/>
      <c r="H22" s="10" t="inlineStr"/>
      <c r="I22" s="7">
        <f>IF(OR(B22="-",B22=""),"Không","Có")</f>
        <v/>
      </c>
      <c r="J22" s="6" t="inlineStr"/>
    </row>
    <row r="23">
      <c r="A23" s="10" t="inlineStr">
        <is>
          <t>SKJ-258</t>
        </is>
      </c>
      <c r="B23" s="10" t="inlineStr"/>
      <c r="C23" s="10" t="inlineStr">
        <is>
          <t>Lê Vy</t>
        </is>
      </c>
      <c r="D23" s="10" t="inlineStr">
        <is>
          <t>Nữ</t>
        </is>
      </c>
      <c r="E23" s="11" t="n"/>
      <c r="F23" s="10" t="inlineStr">
        <is>
          <t>-</t>
        </is>
      </c>
      <c r="G23" s="10" t="inlineStr"/>
      <c r="H23" s="10" t="inlineStr"/>
      <c r="I23" s="7">
        <f>IF(OR(B23="-",B23=""),"Không","Có")</f>
        <v/>
      </c>
      <c r="J23" s="6" t="inlineStr"/>
    </row>
    <row r="24">
      <c r="A24" s="10" t="inlineStr">
        <is>
          <t>SKJ-855</t>
        </is>
      </c>
      <c r="B24" s="10" t="inlineStr"/>
      <c r="C24" s="10" t="inlineStr">
        <is>
          <t>Phạm Ngọc Thuý</t>
        </is>
      </c>
      <c r="D24" s="10" t="inlineStr">
        <is>
          <t>Nữ</t>
        </is>
      </c>
      <c r="E24" s="11" t="n"/>
      <c r="F24" s="10" t="inlineStr">
        <is>
          <t>-</t>
        </is>
      </c>
      <c r="G24" s="10" t="inlineStr"/>
      <c r="H24" s="10" t="inlineStr"/>
      <c r="I24" s="7">
        <f>IF(OR(B24="-",B24=""),"Không","Có")</f>
        <v/>
      </c>
      <c r="J24" s="6" t="inlineStr"/>
    </row>
  </sheetData>
  <mergeCells count="1">
    <mergeCell ref="A1:J1"/>
  </mergeCells>
  <dataValidations count="2">
    <dataValidation sqref="D3:D200" showDropDown="0" showInputMessage="0" showErrorMessage="0" allowBlank="1" type="list">
      <formula1>"Nam,Nữ"</formula1>
    </dataValidation>
    <dataValidation sqref="F3:F200" showDropDown="0" showInputMessage="0" showErrorMessage="0" allowBlank="1" type="list">
      <formula1>'CẤU HÌNH'!$G$5:$G$19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44" customWidth="1" min="4" max="4"/>
    <col width="26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🔒 CẤU HÌNH (admin) — danh mục, biểu phí, đơn giá</t>
        </is>
      </c>
    </row>
    <row r="3">
      <c r="A3" s="4" t="inlineStr">
        <is>
          <t>DANH MỤC</t>
        </is>
      </c>
    </row>
    <row r="4">
      <c r="A4" s="12" t="inlineStr">
        <is>
          <t>Trạng thái</t>
        </is>
      </c>
      <c r="C4" s="12" t="inlineStr">
        <is>
          <t>Giới tính</t>
        </is>
      </c>
      <c r="E4" s="12" t="inlineStr">
        <is>
          <t>Loại phòng</t>
        </is>
      </c>
      <c r="G4" s="12" t="inlineStr">
        <is>
          <t>Bậc Kyu/Dan</t>
        </is>
      </c>
    </row>
    <row r="5">
      <c r="A5" s="8" t="inlineStr">
        <is>
          <t>Quan tâm</t>
        </is>
      </c>
      <c r="C5" s="8" t="inlineStr">
        <is>
          <t>Nam</t>
        </is>
      </c>
      <c r="E5" s="8" t="inlineStr">
        <is>
          <t>Phòng đôi (ghép)</t>
        </is>
      </c>
      <c r="G5" s="8" t="inlineStr">
        <is>
          <t>-</t>
        </is>
      </c>
    </row>
    <row r="6">
      <c r="A6" s="8" t="inlineStr">
        <is>
          <t>Tạm xác nhận</t>
        </is>
      </c>
      <c r="C6" s="8" t="inlineStr">
        <is>
          <t>Nữ</t>
        </is>
      </c>
      <c r="E6" s="8" t="inlineStr">
        <is>
          <t>Phòng ba (ghép)</t>
        </is>
      </c>
      <c r="G6" s="8" t="inlineStr">
        <is>
          <t>6 kyu</t>
        </is>
      </c>
    </row>
    <row r="7">
      <c r="A7" s="8" t="inlineStr">
        <is>
          <t>Đã xác nhận</t>
        </is>
      </c>
      <c r="E7" s="8" t="inlineStr">
        <is>
          <t>Phòng đơn</t>
        </is>
      </c>
      <c r="G7" s="8" t="inlineStr">
        <is>
          <t>5 kyu</t>
        </is>
      </c>
    </row>
    <row r="8">
      <c r="A8" s="8" t="inlineStr">
        <is>
          <t>Hủy</t>
        </is>
      </c>
      <c r="G8" s="8" t="inlineStr">
        <is>
          <t>4 kyu</t>
        </is>
      </c>
    </row>
    <row r="9">
      <c r="G9" s="8" t="inlineStr">
        <is>
          <t>3 kyu</t>
        </is>
      </c>
    </row>
    <row r="10">
      <c r="G10" s="8" t="inlineStr">
        <is>
          <t>2 kyu</t>
        </is>
      </c>
    </row>
    <row r="11">
      <c r="G11" s="8" t="inlineStr">
        <is>
          <t>1 kyu</t>
        </is>
      </c>
    </row>
    <row r="12">
      <c r="G12" s="8" t="inlineStr">
        <is>
          <t>1 dan</t>
        </is>
      </c>
    </row>
    <row r="13">
      <c r="G13" s="8" t="inlineStr">
        <is>
          <t>2 dan</t>
        </is>
      </c>
    </row>
    <row r="14">
      <c r="G14" s="8" t="inlineStr">
        <is>
          <t>3 dan</t>
        </is>
      </c>
    </row>
    <row r="15">
      <c r="G15" s="8" t="inlineStr">
        <is>
          <t>4 dan</t>
        </is>
      </c>
    </row>
    <row r="16">
      <c r="G16" s="8" t="inlineStr">
        <is>
          <t>5 dan</t>
        </is>
      </c>
    </row>
    <row r="17">
      <c r="G17" s="8" t="inlineStr">
        <is>
          <t>6 dan</t>
        </is>
      </c>
    </row>
    <row r="18">
      <c r="G18" s="8" t="inlineStr">
        <is>
          <t>7 dan</t>
        </is>
      </c>
    </row>
    <row r="19">
      <c r="G19" s="8" t="inlineStr">
        <is>
          <t>8 dan</t>
        </is>
      </c>
    </row>
    <row r="21">
      <c r="A21" s="4" t="inlineStr">
        <is>
          <t>BẬC THI KYU/DAN &amp; LỆ PHÍ ĐĂNG KÝ THI</t>
        </is>
      </c>
    </row>
    <row r="22" ht="20" customHeight="1">
      <c r="A22" s="9" t="inlineStr">
        <is>
          <t>Bậc thi</t>
        </is>
      </c>
      <c r="B22" s="9" t="inlineStr">
        <is>
          <t>Phí VKF</t>
        </is>
      </c>
      <c r="C22" s="9" t="inlineStr">
        <is>
          <t>Phí không VKF</t>
        </is>
      </c>
      <c r="D22" s="9" t="inlineStr">
        <is>
          <t>Ghi chú</t>
        </is>
      </c>
    </row>
    <row r="23">
      <c r="A23" s="8" t="inlineStr">
        <is>
          <t>1 kyu</t>
        </is>
      </c>
      <c r="B23" s="13" t="n">
        <v>1000000</v>
      </c>
      <c r="C23" s="13" t="n">
        <v>2000000</v>
      </c>
    </row>
    <row r="24">
      <c r="A24" s="8" t="inlineStr">
        <is>
          <t>1 dan</t>
        </is>
      </c>
      <c r="B24" s="13" t="n">
        <v>1500000</v>
      </c>
      <c r="C24" s="13" t="n">
        <v>2500000</v>
      </c>
    </row>
    <row r="25">
      <c r="A25" s="8" t="inlineStr">
        <is>
          <t>2 dan</t>
        </is>
      </c>
      <c r="B25" s="13" t="n">
        <v>2200000</v>
      </c>
      <c r="C25" s="13" t="n">
        <v>4200000</v>
      </c>
    </row>
    <row r="26">
      <c r="A26" s="8" t="inlineStr">
        <is>
          <t>3 dan</t>
        </is>
      </c>
      <c r="B26" s="13" t="n">
        <v>3000000</v>
      </c>
      <c r="C26" s="13" t="n">
        <v>5000000</v>
      </c>
    </row>
    <row r="27">
      <c r="A27" s="8" t="inlineStr">
        <is>
          <t>4 dan</t>
        </is>
      </c>
      <c r="B27" s="13" t="n">
        <v>4500000</v>
      </c>
      <c r="C27" s="13" t="n">
        <v>6500000</v>
      </c>
    </row>
    <row r="28">
      <c r="A28" s="8" t="inlineStr">
        <is>
          <t>5 dan</t>
        </is>
      </c>
      <c r="B28" s="13" t="n">
        <v>6000000</v>
      </c>
      <c r="C28" s="13" t="n">
        <v>8000000</v>
      </c>
    </row>
    <row r="29">
      <c r="D29" s="14" t="inlineStr">
        <is>
          <t>Lệ phí cấp chứng chỉ = 30% lệ phí thi (hoàn lại nếu không đạt)</t>
        </is>
      </c>
    </row>
    <row r="30">
      <c r="A30" s="4" t="inlineStr">
        <is>
          <t>GÓI THI ĐẤU — THÀNH VIÊN VKF</t>
        </is>
      </c>
    </row>
    <row r="31" ht="20" customHeight="1">
      <c r="A31" s="9" t="inlineStr">
        <is>
          <t>Loại phòng</t>
        </is>
      </c>
      <c r="B31" s="9" t="inlineStr">
        <is>
          <t>1 nội dung</t>
        </is>
      </c>
      <c r="C31" s="9" t="inlineStr">
        <is>
          <t>2 nội dung</t>
        </is>
      </c>
      <c r="D31" s="9" t="inlineStr">
        <is>
          <t>Ghi chú</t>
        </is>
      </c>
    </row>
    <row r="32">
      <c r="A32" s="8" t="inlineStr">
        <is>
          <t>Phòng đôi (ghép)</t>
        </is>
      </c>
      <c r="B32" s="13" t="n">
        <v>1550000</v>
      </c>
      <c r="C32" s="13" t="n">
        <v>1850000</v>
      </c>
    </row>
    <row r="33">
      <c r="A33" s="8" t="inlineStr">
        <is>
          <t>Phòng ba (ghép)</t>
        </is>
      </c>
      <c r="B33" s="13" t="n">
        <v>1450000</v>
      </c>
      <c r="C33" s="13" t="n">
        <v>1750000</v>
      </c>
    </row>
    <row r="34">
      <c r="A34" s="8" t="inlineStr">
        <is>
          <t>Phòng đơn</t>
        </is>
      </c>
      <c r="B34" s="13" t="n">
        <v>1900000</v>
      </c>
      <c r="C34" s="13" t="n">
        <v>2200000</v>
      </c>
    </row>
    <row r="36">
      <c r="A36" s="4" t="inlineStr">
        <is>
          <t>GÓI THI ĐẤU — KHÔNG PHẢI THÀNH VIÊN VKF</t>
        </is>
      </c>
    </row>
    <row r="37" ht="20" customHeight="1">
      <c r="A37" s="9" t="inlineStr">
        <is>
          <t>Loại phòng</t>
        </is>
      </c>
      <c r="B37" s="9" t="inlineStr">
        <is>
          <t>1 nội dung</t>
        </is>
      </c>
      <c r="C37" s="9" t="inlineStr">
        <is>
          <t>2 nội dung</t>
        </is>
      </c>
      <c r="D37" s="9" t="inlineStr">
        <is>
          <t>Ghi chú</t>
        </is>
      </c>
    </row>
    <row r="38">
      <c r="A38" s="8" t="inlineStr">
        <is>
          <t>Phòng đôi (ghép)</t>
        </is>
      </c>
      <c r="B38" s="13" t="n">
        <v>1950000</v>
      </c>
      <c r="C38" s="13" t="n">
        <v>2350000</v>
      </c>
    </row>
    <row r="39">
      <c r="A39" s="8" t="inlineStr">
        <is>
          <t>Phòng ba (ghép)</t>
        </is>
      </c>
      <c r="B39" s="13" t="n">
        <v>1850000</v>
      </c>
      <c r="C39" s="13" t="n">
        <v>2250000</v>
      </c>
    </row>
    <row r="40">
      <c r="A40" s="8" t="inlineStr">
        <is>
          <t>Phòng đơn</t>
        </is>
      </c>
      <c r="B40" s="13" t="n">
        <v>2400000</v>
      </c>
      <c r="C40" s="13" t="n">
        <v>2800000</v>
      </c>
    </row>
    <row r="42">
      <c r="A42" s="4" t="inlineStr">
        <is>
          <t>ĐÊM THÊM / NGƯỜI KHÔNG THI ĐẤU — VKF</t>
        </is>
      </c>
    </row>
    <row r="43" ht="20" customHeight="1">
      <c r="A43" s="9" t="inlineStr">
        <is>
          <t>Loại phòng</t>
        </is>
      </c>
      <c r="B43" s="9" t="inlineStr">
        <is>
          <t>Giá/đêm</t>
        </is>
      </c>
      <c r="C43" s="9" t="inlineStr">
        <is>
          <t>Ghi chú</t>
        </is>
      </c>
    </row>
    <row r="44">
      <c r="A44" s="8" t="inlineStr">
        <is>
          <t>Phòng đôi (ghép)</t>
        </is>
      </c>
      <c r="B44" s="13" t="n">
        <v>350000</v>
      </c>
    </row>
    <row r="45">
      <c r="A45" s="8" t="inlineStr">
        <is>
          <t>Phòng ba (ghép)</t>
        </is>
      </c>
      <c r="B45" s="13" t="n">
        <v>250000</v>
      </c>
    </row>
    <row r="46">
      <c r="A46" s="8" t="inlineStr">
        <is>
          <t>Phòng đơn</t>
        </is>
      </c>
      <c r="B46" s="13" t="n">
        <v>700000</v>
      </c>
    </row>
    <row r="48">
      <c r="A48" s="4" t="inlineStr">
        <is>
          <t>ĐÊM THÊM / NGƯỜI KHÔNG THI ĐẤU — KHÔNG VKF</t>
        </is>
      </c>
    </row>
    <row r="49" ht="20" customHeight="1">
      <c r="A49" s="9" t="inlineStr">
        <is>
          <t>Loại phòng</t>
        </is>
      </c>
      <c r="B49" s="9" t="inlineStr">
        <is>
          <t>Giá/đêm</t>
        </is>
      </c>
      <c r="C49" s="9" t="inlineStr">
        <is>
          <t>Ghi chú</t>
        </is>
      </c>
    </row>
    <row r="50">
      <c r="A50" s="8" t="inlineStr">
        <is>
          <t>Phòng đôi (ghép)</t>
        </is>
      </c>
      <c r="B50" s="13" t="n">
        <v>450000</v>
      </c>
    </row>
    <row r="51">
      <c r="A51" s="8" t="inlineStr">
        <is>
          <t>Phòng ba (ghép)</t>
        </is>
      </c>
      <c r="B51" s="13" t="n">
        <v>350000</v>
      </c>
    </row>
    <row r="52">
      <c r="A52" s="8" t="inlineStr">
        <is>
          <t>Phòng đơn</t>
        </is>
      </c>
      <c r="B52" s="13" t="n">
        <v>900000</v>
      </c>
    </row>
    <row r="54">
      <c r="A54" s="8" t="inlineStr">
        <is>
          <t>Ăn trưa</t>
        </is>
      </c>
      <c r="B54" s="13" t="n">
        <v>120000</v>
      </c>
    </row>
    <row r="55">
      <c r="A55" s="8" t="inlineStr">
        <is>
          <t>Ăn tối</t>
        </is>
      </c>
      <c r="B55" s="13" t="n">
        <v>200000</v>
      </c>
    </row>
    <row r="56">
      <c r="A56" s="8" t="inlineStr">
        <is>
          <t>Tiệc chào mừng</t>
        </is>
      </c>
      <c r="B56" s="13" t="n">
        <v>700000</v>
      </c>
    </row>
    <row r="58">
      <c r="A58" s="4" t="inlineStr">
        <is>
          <t>CHI PHÍ CHUYẾN ĐI (đơn giá mặc định)</t>
        </is>
      </c>
    </row>
    <row r="59" ht="20" customHeight="1">
      <c r="A59" s="9" t="inlineStr">
        <is>
          <t>Khoản</t>
        </is>
      </c>
      <c r="B59" s="9" t="inlineStr">
        <is>
          <t>Đơn vị</t>
        </is>
      </c>
      <c r="C59" s="9" t="inlineStr">
        <is>
          <t>Đơn giá</t>
        </is>
      </c>
      <c r="D59" s="9" t="inlineStr">
        <is>
          <t>Ghi chú</t>
        </is>
      </c>
    </row>
    <row r="60">
      <c r="A60" s="8" t="inlineStr">
        <is>
          <t>Di chuyển sân bay ↔ Tam Chúc / Hà Nội</t>
        </is>
      </c>
      <c r="B60" s="8" t="inlineStr">
        <is>
          <t>/người</t>
        </is>
      </c>
      <c r="C60" s="13" t="n">
        <v>750000</v>
      </c>
    </row>
    <row r="61">
      <c r="A61" s="8" t="inlineStr">
        <is>
          <t>Khách sạn Hà Nội (mặc định nếu không chọn Provider)</t>
        </is>
      </c>
      <c r="B61" s="8" t="inlineStr">
        <is>
          <t>/người/đêm</t>
        </is>
      </c>
      <c r="C61" s="13" t="n"/>
    </row>
    <row r="62">
      <c r="A62" s="8" t="inlineStr">
        <is>
          <t>Ăn uống Hà Nội</t>
        </is>
      </c>
      <c r="B62" s="8" t="inlineStr">
        <is>
          <t>/người/ngày</t>
        </is>
      </c>
      <c r="C62" s="13" t="n"/>
    </row>
    <row r="63">
      <c r="A63" s="8" t="inlineStr">
        <is>
          <t>Đi lại nội thành Hà Nội</t>
        </is>
      </c>
      <c r="B63" s="8" t="inlineStr">
        <is>
          <t>/người/ngày</t>
        </is>
      </c>
      <c r="C63" s="13" t="n"/>
    </row>
    <row r="64">
      <c r="A64" s="8" t="inlineStr">
        <is>
          <t>Dự phòng / khác</t>
        </is>
      </c>
      <c r="B64" s="8" t="inlineStr">
        <is>
          <t>/người</t>
        </is>
      </c>
      <c r="C64" s="13" t="n"/>
    </row>
    <row r="69">
      <c r="A69" s="4" t="inlineStr">
        <is>
          <t>VÕ ĐƯỜNG GIAO LƯU (Hà Nội)</t>
        </is>
      </c>
    </row>
    <row r="70" ht="20" customHeight="1">
      <c r="A70" s="9" t="inlineStr">
        <is>
          <t>Mã</t>
        </is>
      </c>
      <c r="B70" s="9" t="inlineStr">
        <is>
          <t>Võ đường</t>
        </is>
      </c>
      <c r="C70" s="9" t="inlineStr">
        <is>
          <t>Ghi chú</t>
        </is>
      </c>
    </row>
    <row r="71">
      <c r="A71" s="8" t="inlineStr">
        <is>
          <t>HNK01</t>
        </is>
      </c>
      <c r="B71" s="8" t="inlineStr">
        <is>
          <t>Yushinkai</t>
        </is>
      </c>
    </row>
    <row r="72">
      <c r="A72" s="8" t="inlineStr">
        <is>
          <t>HNK02</t>
        </is>
      </c>
      <c r="B72" s="8" t="inlineStr">
        <is>
          <t>Thăng Long</t>
        </is>
      </c>
    </row>
    <row r="73">
      <c r="A73" s="8" t="inlineStr">
        <is>
          <t>HNK03</t>
        </is>
      </c>
      <c r="B73" s="8" t="inlineStr">
        <is>
          <t>Hà Nội</t>
        </is>
      </c>
    </row>
    <row r="74">
      <c r="A74" s="8" t="inlineStr">
        <is>
          <t>HNK04</t>
        </is>
      </c>
      <c r="B74" s="8" t="inlineStr">
        <is>
          <t>Yuei</t>
        </is>
      </c>
    </row>
    <row r="76">
      <c r="A76" s="4" t="inlineStr">
        <is>
          <t>MÃ ĐỘI</t>
        </is>
      </c>
    </row>
    <row r="77" ht="20" customHeight="1">
      <c r="A77" s="9" t="inlineStr">
        <is>
          <t>Mã đội</t>
        </is>
      </c>
      <c r="B77" s="9" t="inlineStr">
        <is>
          <t>Tên đội</t>
        </is>
      </c>
      <c r="C77" s="9" t="inlineStr">
        <is>
          <t>Ghi chú</t>
        </is>
      </c>
    </row>
    <row r="78">
      <c r="A78" s="8" t="inlineStr">
        <is>
          <t>SKJ 01</t>
        </is>
      </c>
    </row>
    <row r="79">
      <c r="A79" s="8" t="inlineStr">
        <is>
          <t>SKJ 02</t>
        </is>
      </c>
    </row>
    <row r="80">
      <c r="A80" s="8" t="inlineStr">
        <is>
          <t>SKJ 03</t>
        </is>
      </c>
    </row>
    <row r="81">
      <c r="A81" s="8" t="inlineStr">
        <is>
          <t>SKJ 04</t>
        </is>
      </c>
    </row>
    <row r="82">
      <c r="A82" s="8" t="inlineStr">
        <is>
          <t>SKJ 05</t>
        </is>
      </c>
    </row>
    <row r="83">
      <c r="A83" s="8" t="inlineStr">
        <is>
          <t>SKJ 06</t>
        </is>
      </c>
    </row>
  </sheetData>
  <mergeCells count="10">
    <mergeCell ref="A3:H3"/>
    <mergeCell ref="A58:D58"/>
    <mergeCell ref="A69:D69"/>
    <mergeCell ref="A48:D48"/>
    <mergeCell ref="A30:D30"/>
    <mergeCell ref="A21:D21"/>
    <mergeCell ref="A1:H1"/>
    <mergeCell ref="A42:D42"/>
    <mergeCell ref="A76:D76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8" customWidth="1" min="4" max="4"/>
    <col width="13" customWidth="1" min="5" max="5"/>
    <col width="26" customWidth="1" min="6" max="6"/>
    <col width="15" customWidth="1" min="7" max="7"/>
    <col width="10" customWidth="1" min="8" max="8"/>
    <col width="18" customWidth="1" min="9" max="9"/>
    <col width="12" customWidth="1" min="10" max="10"/>
    <col width="10" customWidth="1" min="11" max="11"/>
    <col width="12" customWidth="1" min="12" max="12"/>
    <col width="10" customWidth="1" min="13" max="13"/>
    <col width="16" customWidth="1" min="14" max="14"/>
    <col width="16" customWidth="1" min="15" max="15"/>
    <col width="9" customWidth="1" min="16" max="16"/>
    <col width="9" customWidth="1" min="17" max="17"/>
    <col width="12" customWidth="1" min="18" max="18"/>
    <col width="10" customWidth="1" min="19" max="19"/>
    <col width="12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0" customWidth="1" min="26" max="26"/>
    <col width="8" customWidth="1" min="27" max="27"/>
    <col width="12" customWidth="1" min="28" max="28"/>
    <col width="20" customWidth="1" min="29" max="29"/>
    <col width="20" customWidth="1" min="30" max="30"/>
    <col width="14" customWidth="1" min="31" max="31"/>
    <col width="12" customWidth="1" min="32" max="32"/>
    <col width="16" customWidth="1" min="33" max="33"/>
    <col width="18" customWidth="1" min="34" max="34"/>
    <col width="34" customWidth="1" min="35" max="35"/>
  </cols>
  <sheetData>
    <row r="1" ht="24" customHeight="1">
      <c r="A1" s="1" t="inlineStr">
        <is>
          <t>ĐĂNG KÝ CHUYẾN ĐI — mỗi thành viên điền dòng của mình (thông tin · tham gia · hạng mục · chọn dịch vụ)</t>
        </is>
      </c>
    </row>
    <row r="2" ht="42" customHeight="1">
      <c r="A2" s="9" t="inlineStr">
        <is>
          <t>Mã thành viên</t>
        </is>
      </c>
      <c r="B2" s="9" t="inlineStr">
        <is>
          <t>Họ tên</t>
        </is>
      </c>
      <c r="C2" s="9" t="inlineStr">
        <is>
          <t>Kyu/Dan</t>
        </is>
      </c>
      <c r="D2" s="9" t="inlineStr">
        <is>
          <t>VKF?</t>
        </is>
      </c>
      <c r="E2" s="9" t="inlineStr">
        <is>
          <t>SĐT</t>
        </is>
      </c>
      <c r="F2" s="9" t="inlineStr">
        <is>
          <t>Email</t>
        </is>
      </c>
      <c r="G2" s="9" t="inlineStr">
        <is>
          <t>Trạng thái</t>
        </is>
      </c>
      <c r="H2" s="9" t="inlineStr">
        <is>
          <t>Tham gia?</t>
        </is>
      </c>
      <c r="I2" s="9" t="inlineStr">
        <is>
          <t>Điểm đi</t>
        </is>
      </c>
      <c r="J2" s="9" t="inlineStr">
        <is>
          <t>Ngày đến</t>
        </is>
      </c>
      <c r="K2" s="9" t="inlineStr">
        <is>
          <t>Giờ đến</t>
        </is>
      </c>
      <c r="L2" s="9" t="inlineStr">
        <is>
          <t>Ngày về</t>
        </is>
      </c>
      <c r="M2" s="9" t="inlineStr">
        <is>
          <t>Giờ về</t>
        </is>
      </c>
      <c r="N2" s="9" t="inlineStr">
        <is>
          <t>Đến (datetime)</t>
        </is>
      </c>
      <c r="O2" s="9" t="inlineStr">
        <is>
          <t>Về (datetime)</t>
        </is>
      </c>
      <c r="P2" s="9" t="inlineStr">
        <is>
          <t>Số đêm</t>
        </is>
      </c>
      <c r="Q2" s="9" t="inlineStr">
        <is>
          <t>Số ngày</t>
        </is>
      </c>
      <c r="R2" s="9" t="inlineStr">
        <is>
          <t>Thi Dan?</t>
        </is>
      </c>
      <c r="S2" s="9" t="inlineStr">
        <is>
          <t>Seminar?</t>
        </is>
      </c>
      <c r="T2" s="9" t="inlineStr">
        <is>
          <t>Godo Keiko?</t>
        </is>
      </c>
      <c r="U2" s="9" t="inlineStr">
        <is>
          <t>Team-3</t>
        </is>
      </c>
      <c r="V2" s="9" t="inlineStr">
        <is>
          <t>Team-5</t>
        </is>
      </c>
      <c r="W2" s="9" t="inlineStr">
        <is>
          <t>Giao lưu HN</t>
        </is>
      </c>
      <c r="X2" s="9" t="inlineStr">
        <is>
          <t>Yushinkai</t>
        </is>
      </c>
      <c r="Y2" s="9" t="inlineStr">
        <is>
          <t>Thăng Long</t>
        </is>
      </c>
      <c r="Z2" s="9" t="inlineStr">
        <is>
          <t>Hà Nội</t>
        </is>
      </c>
      <c r="AA2" s="9" t="inlineStr">
        <is>
          <t>Yuei</t>
        </is>
      </c>
      <c r="AB2" s="9" t="inlineStr">
        <is>
          <t>Mã đội</t>
        </is>
      </c>
      <c r="AC2" s="9" t="inlineStr">
        <is>
          <t>Loại phòng</t>
        </is>
      </c>
      <c r="AD2" s="9" t="inlineStr">
        <is>
          <t>Bạn cùng phòng</t>
        </is>
      </c>
      <c r="AE2" s="9" t="inlineStr">
        <is>
          <t>Mã vé MB (FL)</t>
        </is>
      </c>
      <c r="AF2" s="9" t="inlineStr">
        <is>
          <t>Mã xe (BUS)</t>
        </is>
      </c>
      <c r="AG2" s="9" t="inlineStr">
        <is>
          <t>Mã KS Hà Nội (HTL)</t>
        </is>
      </c>
      <c r="AH2" s="9" t="inlineStr">
        <is>
          <t>Gợi ý NCC (auto)</t>
        </is>
      </c>
      <c r="AI2" s="9" t="inlineStr">
        <is>
          <t>Ghi chú</t>
        </is>
      </c>
    </row>
    <row r="3">
      <c r="A3" s="6" t="inlineStr">
        <is>
          <t>SKJ-198</t>
        </is>
      </c>
      <c r="B3" s="7">
        <f>IF($A3="","",IFERROR(VLOOKUP($A3,'THÀNH VIÊN'!$A$3:$J$200,3,FALSE),""))</f>
        <v/>
      </c>
      <c r="C3" s="7">
        <f>IF($A3="","",IFERROR(VLOOKUP($A3,'THÀNH VIÊN'!$A$3:$J$200,6,FALSE),""))</f>
        <v/>
      </c>
      <c r="D3" s="7">
        <f>IF($A3="","",IFERROR(VLOOKUP($A3,'THÀNH VIÊN'!$A$3:$J$200,9,FALSE),""))</f>
        <v/>
      </c>
      <c r="E3" s="7">
        <f>IF($A3="","",IFERROR(VLOOKUP($A3,'THÀNH VIÊN'!$A$3:$J$200,8,FALSE),""))</f>
        <v/>
      </c>
      <c r="F3" s="7">
        <f>IF($A3="","",IFERROR(VLOOKUP($A3,'THÀNH VIÊN'!$A$3:$J$200,7,FALSE),""))</f>
        <v/>
      </c>
      <c r="G3" s="6" t="inlineStr"/>
      <c r="H3" s="6" t="n"/>
      <c r="I3" s="6" t="n"/>
      <c r="J3" s="15" t="n"/>
      <c r="K3" s="16" t="n"/>
      <c r="L3" s="15" t="n"/>
      <c r="M3" s="16" t="n"/>
      <c r="N3" s="17">
        <f>IF($J3="","",$J3+IF($K3="",0,$K3))</f>
        <v/>
      </c>
      <c r="O3" s="17">
        <f>IF($L3="","",$L3+IF($M3="",0,$M3))</f>
        <v/>
      </c>
      <c r="P3" s="7">
        <f>IF(OR($N3="",$O3=""),"",MAX(0,INT($O3)-INT($N3)))</f>
        <v/>
      </c>
      <c r="Q3" s="7">
        <f>IF(OR($N3="",$O3=""),"",MAX(0,INT($O3)-INT($N3))+1)</f>
        <v/>
      </c>
      <c r="R3" s="6" t="inlineStr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7">
        <f>IF($I3="","",IF(COUNTIF(Provider!$K$5:$K$14,$I3)=0,"—",IF(COUNTIF(Provider!$K$5:$K$14,$I3)=1,INDEX(Provider!$A$5:$A$14,MATCH($I3,Provider!$K$5:$K$14,0)),COUNTIF(Provider!$K$5:$K$14,$I3)&amp;" lựa chọn")))</f>
        <v/>
      </c>
      <c r="AI3" s="6" t="n"/>
    </row>
    <row r="4">
      <c r="A4" s="6" t="inlineStr">
        <is>
          <t>SKJ-201</t>
        </is>
      </c>
      <c r="B4" s="7">
        <f>IF($A4="","",IFERROR(VLOOKUP($A4,'THÀNH VIÊN'!$A$3:$J$200,3,FALSE),""))</f>
        <v/>
      </c>
      <c r="C4" s="7">
        <f>IF($A4="","",IFERROR(VLOOKUP($A4,'THÀNH VIÊN'!$A$3:$J$200,6,FALSE),""))</f>
        <v/>
      </c>
      <c r="D4" s="7">
        <f>IF($A4="","",IFERROR(VLOOKUP($A4,'THÀNH VIÊN'!$A$3:$J$200,9,FALSE),""))</f>
        <v/>
      </c>
      <c r="E4" s="7">
        <f>IF($A4="","",IFERROR(VLOOKUP($A4,'THÀNH VIÊN'!$A$3:$J$200,8,FALSE),""))</f>
        <v/>
      </c>
      <c r="F4" s="7">
        <f>IF($A4="","",IFERROR(VLOOKUP($A4,'THÀNH VIÊN'!$A$3:$J$200,7,FALSE),""))</f>
        <v/>
      </c>
      <c r="G4" s="6" t="inlineStr"/>
      <c r="H4" s="6" t="n"/>
      <c r="I4" s="6" t="n"/>
      <c r="J4" s="15" t="n"/>
      <c r="K4" s="16" t="n"/>
      <c r="L4" s="15" t="n"/>
      <c r="M4" s="16" t="n"/>
      <c r="N4" s="17">
        <f>IF($J4="","",$J4+IF($K4="",0,$K4))</f>
        <v/>
      </c>
      <c r="O4" s="17">
        <f>IF($L4="","",$L4+IF($M4="",0,$M4))</f>
        <v/>
      </c>
      <c r="P4" s="7">
        <f>IF(OR($N4="",$O4=""),"",MAX(0,INT($O4)-INT($N4)))</f>
        <v/>
      </c>
      <c r="Q4" s="7">
        <f>IF(OR($N4="",$O4=""),"",MAX(0,INT($O4)-INT($N4))+1)</f>
        <v/>
      </c>
      <c r="R4" s="6" t="inlineStr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7">
        <f>IF($I4="","",IF(COUNTIF(Provider!$K$5:$K$14,$I4)=0,"—",IF(COUNTIF(Provider!$K$5:$K$14,$I4)=1,INDEX(Provider!$A$5:$A$14,MATCH($I4,Provider!$K$5:$K$14,0)),COUNTIF(Provider!$K$5:$K$14,$I4)&amp;" lựa chọn")))</f>
        <v/>
      </c>
      <c r="AI4" s="6" t="n"/>
    </row>
    <row r="5">
      <c r="A5" s="6" t="inlineStr">
        <is>
          <t>SKJ-023</t>
        </is>
      </c>
      <c r="B5" s="7">
        <f>IF($A5="","",IFERROR(VLOOKUP($A5,'THÀNH VIÊN'!$A$3:$J$200,3,FALSE),""))</f>
        <v/>
      </c>
      <c r="C5" s="7">
        <f>IF($A5="","",IFERROR(VLOOKUP($A5,'THÀNH VIÊN'!$A$3:$J$200,6,FALSE),""))</f>
        <v/>
      </c>
      <c r="D5" s="7">
        <f>IF($A5="","",IFERROR(VLOOKUP($A5,'THÀNH VIÊN'!$A$3:$J$200,9,FALSE),""))</f>
        <v/>
      </c>
      <c r="E5" s="7">
        <f>IF($A5="","",IFERROR(VLOOKUP($A5,'THÀNH VIÊN'!$A$3:$J$200,8,FALSE),""))</f>
        <v/>
      </c>
      <c r="F5" s="7">
        <f>IF($A5="","",IFERROR(VLOOKUP($A5,'THÀNH VIÊN'!$A$3:$J$200,7,FALSE),""))</f>
        <v/>
      </c>
      <c r="G5" s="6" t="inlineStr"/>
      <c r="H5" s="6" t="n"/>
      <c r="I5" s="6" t="n"/>
      <c r="J5" s="15" t="n"/>
      <c r="K5" s="16" t="n"/>
      <c r="L5" s="15" t="n"/>
      <c r="M5" s="16" t="n"/>
      <c r="N5" s="17">
        <f>IF($J5="","",$J5+IF($K5="",0,$K5))</f>
        <v/>
      </c>
      <c r="O5" s="17">
        <f>IF($L5="","",$L5+IF($M5="",0,$M5))</f>
        <v/>
      </c>
      <c r="P5" s="7">
        <f>IF(OR($N5="",$O5=""),"",MAX(0,INT($O5)-INT($N5)))</f>
        <v/>
      </c>
      <c r="Q5" s="7">
        <f>IF(OR($N5="",$O5=""),"",MAX(0,INT($O5)-INT($N5))+1)</f>
        <v/>
      </c>
      <c r="R5" s="6" t="inlineStr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7">
        <f>IF($I5="","",IF(COUNTIF(Provider!$K$5:$K$14,$I5)=0,"—",IF(COUNTIF(Provider!$K$5:$K$14,$I5)=1,INDEX(Provider!$A$5:$A$14,MATCH($I5,Provider!$K$5:$K$14,0)),COUNTIF(Provider!$K$5:$K$14,$I5)&amp;" lựa chọn")))</f>
        <v/>
      </c>
      <c r="AI5" s="6" t="n"/>
    </row>
    <row r="6">
      <c r="A6" s="6" t="inlineStr">
        <is>
          <t>SKJ-960</t>
        </is>
      </c>
      <c r="B6" s="7">
        <f>IF($A6="","",IFERROR(VLOOKUP($A6,'THÀNH VIÊN'!$A$3:$J$200,3,FALSE),""))</f>
        <v/>
      </c>
      <c r="C6" s="7">
        <f>IF($A6="","",IFERROR(VLOOKUP($A6,'THÀNH VIÊN'!$A$3:$J$200,6,FALSE),""))</f>
        <v/>
      </c>
      <c r="D6" s="7">
        <f>IF($A6="","",IFERROR(VLOOKUP($A6,'THÀNH VIÊN'!$A$3:$J$200,9,FALSE),""))</f>
        <v/>
      </c>
      <c r="E6" s="7">
        <f>IF($A6="","",IFERROR(VLOOKUP($A6,'THÀNH VIÊN'!$A$3:$J$200,8,FALSE),""))</f>
        <v/>
      </c>
      <c r="F6" s="7">
        <f>IF($A6="","",IFERROR(VLOOKUP($A6,'THÀNH VIÊN'!$A$3:$J$200,7,FALSE),""))</f>
        <v/>
      </c>
      <c r="G6" s="6" t="inlineStr"/>
      <c r="H6" s="6" t="n"/>
      <c r="I6" s="6" t="n"/>
      <c r="J6" s="15" t="n"/>
      <c r="K6" s="16" t="n"/>
      <c r="L6" s="15" t="n"/>
      <c r="M6" s="16" t="n"/>
      <c r="N6" s="17">
        <f>IF($J6="","",$J6+IF($K6="",0,$K6))</f>
        <v/>
      </c>
      <c r="O6" s="17">
        <f>IF($L6="","",$L6+IF($M6="",0,$M6))</f>
        <v/>
      </c>
      <c r="P6" s="7">
        <f>IF(OR($N6="",$O6=""),"",MAX(0,INT($O6)-INT($N6)))</f>
        <v/>
      </c>
      <c r="Q6" s="7">
        <f>IF(OR($N6="",$O6=""),"",MAX(0,INT($O6)-INT($N6))+1)</f>
        <v/>
      </c>
      <c r="R6" s="6" t="inlineStr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7">
        <f>IF($I6="","",IF(COUNTIF(Provider!$K$5:$K$14,$I6)=0,"—",IF(COUNTIF(Provider!$K$5:$K$14,$I6)=1,INDEX(Provider!$A$5:$A$14,MATCH($I6,Provider!$K$5:$K$14,0)),COUNTIF(Provider!$K$5:$K$14,$I6)&amp;" lựa chọn")))</f>
        <v/>
      </c>
      <c r="AI6" s="6" t="n"/>
    </row>
    <row r="7">
      <c r="A7" s="6" t="inlineStr">
        <is>
          <t>SKJ-494</t>
        </is>
      </c>
      <c r="B7" s="7">
        <f>IF($A7="","",IFERROR(VLOOKUP($A7,'THÀNH VIÊN'!$A$3:$J$200,3,FALSE),""))</f>
        <v/>
      </c>
      <c r="C7" s="7">
        <f>IF($A7="","",IFERROR(VLOOKUP($A7,'THÀNH VIÊN'!$A$3:$J$200,6,FALSE),""))</f>
        <v/>
      </c>
      <c r="D7" s="7">
        <f>IF($A7="","",IFERROR(VLOOKUP($A7,'THÀNH VIÊN'!$A$3:$J$200,9,FALSE),""))</f>
        <v/>
      </c>
      <c r="E7" s="7">
        <f>IF($A7="","",IFERROR(VLOOKUP($A7,'THÀNH VIÊN'!$A$3:$J$200,8,FALSE),""))</f>
        <v/>
      </c>
      <c r="F7" s="7">
        <f>IF($A7="","",IFERROR(VLOOKUP($A7,'THÀNH VIÊN'!$A$3:$J$200,7,FALSE),""))</f>
        <v/>
      </c>
      <c r="G7" s="6" t="inlineStr"/>
      <c r="H7" s="6" t="n"/>
      <c r="I7" s="6" t="n"/>
      <c r="J7" s="15" t="n"/>
      <c r="K7" s="16" t="n"/>
      <c r="L7" s="15" t="n"/>
      <c r="M7" s="16" t="n"/>
      <c r="N7" s="17">
        <f>IF($J7="","",$J7+IF($K7="",0,$K7))</f>
        <v/>
      </c>
      <c r="O7" s="17">
        <f>IF($L7="","",$L7+IF($M7="",0,$M7))</f>
        <v/>
      </c>
      <c r="P7" s="7">
        <f>IF(OR($N7="",$O7=""),"",MAX(0,INT($O7)-INT($N7)))</f>
        <v/>
      </c>
      <c r="Q7" s="7">
        <f>IF(OR($N7="",$O7=""),"",MAX(0,INT($O7)-INT($N7))+1)</f>
        <v/>
      </c>
      <c r="R7" s="6" t="inlineStr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7">
        <f>IF($I7="","",IF(COUNTIF(Provider!$K$5:$K$14,$I7)=0,"—",IF(COUNTIF(Provider!$K$5:$K$14,$I7)=1,INDEX(Provider!$A$5:$A$14,MATCH($I7,Provider!$K$5:$K$14,0)),COUNTIF(Provider!$K$5:$K$14,$I7)&amp;" lựa chọn")))</f>
        <v/>
      </c>
      <c r="AI7" s="6" t="n"/>
    </row>
    <row r="8">
      <c r="A8" s="6" t="inlineStr">
        <is>
          <t>SKJ-275</t>
        </is>
      </c>
      <c r="B8" s="7">
        <f>IF($A8="","",IFERROR(VLOOKUP($A8,'THÀNH VIÊN'!$A$3:$J$200,3,FALSE),""))</f>
        <v/>
      </c>
      <c r="C8" s="7">
        <f>IF($A8="","",IFERROR(VLOOKUP($A8,'THÀNH VIÊN'!$A$3:$J$200,6,FALSE),""))</f>
        <v/>
      </c>
      <c r="D8" s="7">
        <f>IF($A8="","",IFERROR(VLOOKUP($A8,'THÀNH VIÊN'!$A$3:$J$200,9,FALSE),""))</f>
        <v/>
      </c>
      <c r="E8" s="7">
        <f>IF($A8="","",IFERROR(VLOOKUP($A8,'THÀNH VIÊN'!$A$3:$J$200,8,FALSE),""))</f>
        <v/>
      </c>
      <c r="F8" s="7">
        <f>IF($A8="","",IFERROR(VLOOKUP($A8,'THÀNH VIÊN'!$A$3:$J$200,7,FALSE),""))</f>
        <v/>
      </c>
      <c r="G8" s="6" t="inlineStr"/>
      <c r="H8" s="6" t="n"/>
      <c r="I8" s="6" t="n"/>
      <c r="J8" s="15" t="n"/>
      <c r="K8" s="16" t="n"/>
      <c r="L8" s="15" t="n"/>
      <c r="M8" s="16" t="n"/>
      <c r="N8" s="17">
        <f>IF($J8="","",$J8+IF($K8="",0,$K8))</f>
        <v/>
      </c>
      <c r="O8" s="17">
        <f>IF($L8="","",$L8+IF($M8="",0,$M8))</f>
        <v/>
      </c>
      <c r="P8" s="7">
        <f>IF(OR($N8="",$O8=""),"",MAX(0,INT($O8)-INT($N8)))</f>
        <v/>
      </c>
      <c r="Q8" s="7">
        <f>IF(OR($N8="",$O8=""),"",MAX(0,INT($O8)-INT($N8))+1)</f>
        <v/>
      </c>
      <c r="R8" s="6" t="inlineStr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7">
        <f>IF($I8="","",IF(COUNTIF(Provider!$K$5:$K$14,$I8)=0,"—",IF(COUNTIF(Provider!$K$5:$K$14,$I8)=1,INDEX(Provider!$A$5:$A$14,MATCH($I8,Provider!$K$5:$K$14,0)),COUNTIF(Provider!$K$5:$K$14,$I8)&amp;" lựa chọn")))</f>
        <v/>
      </c>
      <c r="AI8" s="6" t="n"/>
    </row>
    <row r="9">
      <c r="A9" s="6" t="inlineStr">
        <is>
          <t>SKJ-746</t>
        </is>
      </c>
      <c r="B9" s="7">
        <f>IF($A9="","",IFERROR(VLOOKUP($A9,'THÀNH VIÊN'!$A$3:$J$200,3,FALSE),""))</f>
        <v/>
      </c>
      <c r="C9" s="7">
        <f>IF($A9="","",IFERROR(VLOOKUP($A9,'THÀNH VIÊN'!$A$3:$J$200,6,FALSE),""))</f>
        <v/>
      </c>
      <c r="D9" s="7">
        <f>IF($A9="","",IFERROR(VLOOKUP($A9,'THÀNH VIÊN'!$A$3:$J$200,9,FALSE),""))</f>
        <v/>
      </c>
      <c r="E9" s="7">
        <f>IF($A9="","",IFERROR(VLOOKUP($A9,'THÀNH VIÊN'!$A$3:$J$200,8,FALSE),""))</f>
        <v/>
      </c>
      <c r="F9" s="7">
        <f>IF($A9="","",IFERROR(VLOOKUP($A9,'THÀNH VIÊN'!$A$3:$J$200,7,FALSE),""))</f>
        <v/>
      </c>
      <c r="G9" s="6" t="inlineStr"/>
      <c r="H9" s="6" t="n"/>
      <c r="I9" s="6" t="n"/>
      <c r="J9" s="15" t="n"/>
      <c r="K9" s="16" t="n"/>
      <c r="L9" s="15" t="n"/>
      <c r="M9" s="16" t="n"/>
      <c r="N9" s="17">
        <f>IF($J9="","",$J9+IF($K9="",0,$K9))</f>
        <v/>
      </c>
      <c r="O9" s="17">
        <f>IF($L9="","",$L9+IF($M9="",0,$M9))</f>
        <v/>
      </c>
      <c r="P9" s="7">
        <f>IF(OR($N9="",$O9=""),"",MAX(0,INT($O9)-INT($N9)))</f>
        <v/>
      </c>
      <c r="Q9" s="7">
        <f>IF(OR($N9="",$O9=""),"",MAX(0,INT($O9)-INT($N9))+1)</f>
        <v/>
      </c>
      <c r="R9" s="6" t="inlineStr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7">
        <f>IF($I9="","",IF(COUNTIF(Provider!$K$5:$K$14,$I9)=0,"—",IF(COUNTIF(Provider!$K$5:$K$14,$I9)=1,INDEX(Provider!$A$5:$A$14,MATCH($I9,Provider!$K$5:$K$14,0)),COUNTIF(Provider!$K$5:$K$14,$I9)&amp;" lựa chọn")))</f>
        <v/>
      </c>
      <c r="AI9" s="6" t="n"/>
    </row>
    <row r="10">
      <c r="A10" s="6" t="inlineStr">
        <is>
          <t>SKJ-930</t>
        </is>
      </c>
      <c r="B10" s="7">
        <f>IF($A10="","",IFERROR(VLOOKUP($A10,'THÀNH VIÊN'!$A$3:$J$200,3,FALSE),""))</f>
        <v/>
      </c>
      <c r="C10" s="7">
        <f>IF($A10="","",IFERROR(VLOOKUP($A10,'THÀNH VIÊN'!$A$3:$J$200,6,FALSE),""))</f>
        <v/>
      </c>
      <c r="D10" s="7">
        <f>IF($A10="","",IFERROR(VLOOKUP($A10,'THÀNH VIÊN'!$A$3:$J$200,9,FALSE),""))</f>
        <v/>
      </c>
      <c r="E10" s="7">
        <f>IF($A10="","",IFERROR(VLOOKUP($A10,'THÀNH VIÊN'!$A$3:$J$200,8,FALSE),""))</f>
        <v/>
      </c>
      <c r="F10" s="7">
        <f>IF($A10="","",IFERROR(VLOOKUP($A10,'THÀNH VIÊN'!$A$3:$J$200,7,FALSE),""))</f>
        <v/>
      </c>
      <c r="G10" s="6" t="inlineStr"/>
      <c r="H10" s="6" t="n"/>
      <c r="I10" s="6" t="n"/>
      <c r="J10" s="15" t="n"/>
      <c r="K10" s="16" t="n"/>
      <c r="L10" s="15" t="n"/>
      <c r="M10" s="16" t="n"/>
      <c r="N10" s="17">
        <f>IF($J10="","",$J10+IF($K10="",0,$K10))</f>
        <v/>
      </c>
      <c r="O10" s="17">
        <f>IF($L10="","",$L10+IF($M10="",0,$M10))</f>
        <v/>
      </c>
      <c r="P10" s="7">
        <f>IF(OR($N10="",$O10=""),"",MAX(0,INT($O10)-INT($N10)))</f>
        <v/>
      </c>
      <c r="Q10" s="7">
        <f>IF(OR($N10="",$O10=""),"",MAX(0,INT($O10)-INT($N10))+1)</f>
        <v/>
      </c>
      <c r="R10" s="6" t="inlineStr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7">
        <f>IF($I10="","",IF(COUNTIF(Provider!$K$5:$K$14,$I10)=0,"—",IF(COUNTIF(Provider!$K$5:$K$14,$I10)=1,INDEX(Provider!$A$5:$A$14,MATCH($I10,Provider!$K$5:$K$14,0)),COUNTIF(Provider!$K$5:$K$14,$I10)&amp;" lựa chọn")))</f>
        <v/>
      </c>
      <c r="AI10" s="6" t="n"/>
    </row>
    <row r="11">
      <c r="A11" s="6" t="inlineStr">
        <is>
          <t>SKJ-281</t>
        </is>
      </c>
      <c r="B11" s="7">
        <f>IF($A11="","",IFERROR(VLOOKUP($A11,'THÀNH VIÊN'!$A$3:$J$200,3,FALSE),""))</f>
        <v/>
      </c>
      <c r="C11" s="7">
        <f>IF($A11="","",IFERROR(VLOOKUP($A11,'THÀNH VIÊN'!$A$3:$J$200,6,FALSE),""))</f>
        <v/>
      </c>
      <c r="D11" s="7">
        <f>IF($A11="","",IFERROR(VLOOKUP($A11,'THÀNH VIÊN'!$A$3:$J$200,9,FALSE),""))</f>
        <v/>
      </c>
      <c r="E11" s="7">
        <f>IF($A11="","",IFERROR(VLOOKUP($A11,'THÀNH VIÊN'!$A$3:$J$200,8,FALSE),""))</f>
        <v/>
      </c>
      <c r="F11" s="7">
        <f>IF($A11="","",IFERROR(VLOOKUP($A11,'THÀNH VIÊN'!$A$3:$J$200,7,FALSE),""))</f>
        <v/>
      </c>
      <c r="G11" s="6" t="inlineStr"/>
      <c r="H11" s="6" t="n"/>
      <c r="I11" s="6" t="n"/>
      <c r="J11" s="15" t="n"/>
      <c r="K11" s="16" t="n"/>
      <c r="L11" s="15" t="n"/>
      <c r="M11" s="16" t="n"/>
      <c r="N11" s="17">
        <f>IF($J11="","",$J11+IF($K11="",0,$K11))</f>
        <v/>
      </c>
      <c r="O11" s="17">
        <f>IF($L11="","",$L11+IF($M11="",0,$M11))</f>
        <v/>
      </c>
      <c r="P11" s="7">
        <f>IF(OR($N11="",$O11=""),"",MAX(0,INT($O11)-INT($N11)))</f>
        <v/>
      </c>
      <c r="Q11" s="7">
        <f>IF(OR($N11="",$O11=""),"",MAX(0,INT($O11)-INT($N11))+1)</f>
        <v/>
      </c>
      <c r="R11" s="6" t="inlineStr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7">
        <f>IF($I11="","",IF(COUNTIF(Provider!$K$5:$K$14,$I11)=0,"—",IF(COUNTIF(Provider!$K$5:$K$14,$I11)=1,INDEX(Provider!$A$5:$A$14,MATCH($I11,Provider!$K$5:$K$14,0)),COUNTIF(Provider!$K$5:$K$14,$I11)&amp;" lựa chọn")))</f>
        <v/>
      </c>
      <c r="AI11" s="6" t="n"/>
    </row>
    <row r="12">
      <c r="A12" s="6" t="inlineStr">
        <is>
          <t>SKJ-826</t>
        </is>
      </c>
      <c r="B12" s="7">
        <f>IF($A12="","",IFERROR(VLOOKUP($A12,'THÀNH VIÊN'!$A$3:$J$200,3,FALSE),""))</f>
        <v/>
      </c>
      <c r="C12" s="7">
        <f>IF($A12="","",IFERROR(VLOOKUP($A12,'THÀNH VIÊN'!$A$3:$J$200,6,FALSE),""))</f>
        <v/>
      </c>
      <c r="D12" s="7">
        <f>IF($A12="","",IFERROR(VLOOKUP($A12,'THÀNH VIÊN'!$A$3:$J$200,9,FALSE),""))</f>
        <v/>
      </c>
      <c r="E12" s="7">
        <f>IF($A12="","",IFERROR(VLOOKUP($A12,'THÀNH VIÊN'!$A$3:$J$200,8,FALSE),""))</f>
        <v/>
      </c>
      <c r="F12" s="7">
        <f>IF($A12="","",IFERROR(VLOOKUP($A12,'THÀNH VIÊN'!$A$3:$J$200,7,FALSE),""))</f>
        <v/>
      </c>
      <c r="G12" s="6" t="inlineStr"/>
      <c r="H12" s="6" t="n"/>
      <c r="I12" s="6" t="n"/>
      <c r="J12" s="15" t="n"/>
      <c r="K12" s="16" t="n"/>
      <c r="L12" s="15" t="n"/>
      <c r="M12" s="16" t="n"/>
      <c r="N12" s="17">
        <f>IF($J12="","",$J12+IF($K12="",0,$K12))</f>
        <v/>
      </c>
      <c r="O12" s="17">
        <f>IF($L12="","",$L12+IF($M12="",0,$M12))</f>
        <v/>
      </c>
      <c r="P12" s="7">
        <f>IF(OR($N12="",$O12=""),"",MAX(0,INT($O12)-INT($N12)))</f>
        <v/>
      </c>
      <c r="Q12" s="7">
        <f>IF(OR($N12="",$O12=""),"",MAX(0,INT($O12)-INT($N12))+1)</f>
        <v/>
      </c>
      <c r="R12" s="6" t="inlineStr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7">
        <f>IF($I12="","",IF(COUNTIF(Provider!$K$5:$K$14,$I12)=0,"—",IF(COUNTIF(Provider!$K$5:$K$14,$I12)=1,INDEX(Provider!$A$5:$A$14,MATCH($I12,Provider!$K$5:$K$14,0)),COUNTIF(Provider!$K$5:$K$14,$I12)&amp;" lựa chọn")))</f>
        <v/>
      </c>
      <c r="AI12" s="6" t="n"/>
    </row>
    <row r="13">
      <c r="A13" s="6" t="inlineStr">
        <is>
          <t>SKJ-195</t>
        </is>
      </c>
      <c r="B13" s="7">
        <f>IF($A13="","",IFERROR(VLOOKUP($A13,'THÀNH VIÊN'!$A$3:$J$200,3,FALSE),""))</f>
        <v/>
      </c>
      <c r="C13" s="7">
        <f>IF($A13="","",IFERROR(VLOOKUP($A13,'THÀNH VIÊN'!$A$3:$J$200,6,FALSE),""))</f>
        <v/>
      </c>
      <c r="D13" s="7">
        <f>IF($A13="","",IFERROR(VLOOKUP($A13,'THÀNH VIÊN'!$A$3:$J$200,9,FALSE),""))</f>
        <v/>
      </c>
      <c r="E13" s="7">
        <f>IF($A13="","",IFERROR(VLOOKUP($A13,'THÀNH VIÊN'!$A$3:$J$200,8,FALSE),""))</f>
        <v/>
      </c>
      <c r="F13" s="7">
        <f>IF($A13="","",IFERROR(VLOOKUP($A13,'THÀNH VIÊN'!$A$3:$J$200,7,FALSE),""))</f>
        <v/>
      </c>
      <c r="G13" s="6" t="inlineStr"/>
      <c r="H13" s="6" t="n"/>
      <c r="I13" s="6" t="n"/>
      <c r="J13" s="15" t="n"/>
      <c r="K13" s="16" t="n"/>
      <c r="L13" s="15" t="n"/>
      <c r="M13" s="16" t="n"/>
      <c r="N13" s="17">
        <f>IF($J13="","",$J13+IF($K13="",0,$K13))</f>
        <v/>
      </c>
      <c r="O13" s="17">
        <f>IF($L13="","",$L13+IF($M13="",0,$M13))</f>
        <v/>
      </c>
      <c r="P13" s="7">
        <f>IF(OR($N13="",$O13=""),"",MAX(0,INT($O13)-INT($N13)))</f>
        <v/>
      </c>
      <c r="Q13" s="7">
        <f>IF(OR($N13="",$O13=""),"",MAX(0,INT($O13)-INT($N13))+1)</f>
        <v/>
      </c>
      <c r="R13" s="6" t="inlineStr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7">
        <f>IF($I13="","",IF(COUNTIF(Provider!$K$5:$K$14,$I13)=0,"—",IF(COUNTIF(Provider!$K$5:$K$14,$I13)=1,INDEX(Provider!$A$5:$A$14,MATCH($I13,Provider!$K$5:$K$14,0)),COUNTIF(Provider!$K$5:$K$14,$I13)&amp;" lựa chọn")))</f>
        <v/>
      </c>
      <c r="AI13" s="6" t="n"/>
    </row>
    <row r="14">
      <c r="A14" s="6" t="inlineStr">
        <is>
          <t>SKJ-619</t>
        </is>
      </c>
      <c r="B14" s="7">
        <f>IF($A14="","",IFERROR(VLOOKUP($A14,'THÀNH VIÊN'!$A$3:$J$200,3,FALSE),""))</f>
        <v/>
      </c>
      <c r="C14" s="7">
        <f>IF($A14="","",IFERROR(VLOOKUP($A14,'THÀNH VIÊN'!$A$3:$J$200,6,FALSE),""))</f>
        <v/>
      </c>
      <c r="D14" s="7">
        <f>IF($A14="","",IFERROR(VLOOKUP($A14,'THÀNH VIÊN'!$A$3:$J$200,9,FALSE),""))</f>
        <v/>
      </c>
      <c r="E14" s="7">
        <f>IF($A14="","",IFERROR(VLOOKUP($A14,'THÀNH VIÊN'!$A$3:$J$200,8,FALSE),""))</f>
        <v/>
      </c>
      <c r="F14" s="7">
        <f>IF($A14="","",IFERROR(VLOOKUP($A14,'THÀNH VIÊN'!$A$3:$J$200,7,FALSE),""))</f>
        <v/>
      </c>
      <c r="G14" s="6" t="inlineStr"/>
      <c r="H14" s="6" t="n"/>
      <c r="I14" s="6" t="n"/>
      <c r="J14" s="15" t="n"/>
      <c r="K14" s="16" t="n"/>
      <c r="L14" s="15" t="n"/>
      <c r="M14" s="16" t="n"/>
      <c r="N14" s="17">
        <f>IF($J14="","",$J14+IF($K14="",0,$K14))</f>
        <v/>
      </c>
      <c r="O14" s="17">
        <f>IF($L14="","",$L14+IF($M14="",0,$M14))</f>
        <v/>
      </c>
      <c r="P14" s="7">
        <f>IF(OR($N14="",$O14=""),"",MAX(0,INT($O14)-INT($N14)))</f>
        <v/>
      </c>
      <c r="Q14" s="7">
        <f>IF(OR($N14="",$O14=""),"",MAX(0,INT($O14)-INT($N14))+1)</f>
        <v/>
      </c>
      <c r="R14" s="6" t="inlineStr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7">
        <f>IF($I14="","",IF(COUNTIF(Provider!$K$5:$K$14,$I14)=0,"—",IF(COUNTIF(Provider!$K$5:$K$14,$I14)=1,INDEX(Provider!$A$5:$A$14,MATCH($I14,Provider!$K$5:$K$14,0)),COUNTIF(Provider!$K$5:$K$14,$I14)&amp;" lựa chọn")))</f>
        <v/>
      </c>
      <c r="AI14" s="6" t="n"/>
    </row>
    <row r="15">
      <c r="A15" s="6" t="inlineStr">
        <is>
          <t>SKJ-785</t>
        </is>
      </c>
      <c r="B15" s="7">
        <f>IF($A15="","",IFERROR(VLOOKUP($A15,'THÀNH VIÊN'!$A$3:$J$200,3,FALSE),""))</f>
        <v/>
      </c>
      <c r="C15" s="7">
        <f>IF($A15="","",IFERROR(VLOOKUP($A15,'THÀNH VIÊN'!$A$3:$J$200,6,FALSE),""))</f>
        <v/>
      </c>
      <c r="D15" s="7">
        <f>IF($A15="","",IFERROR(VLOOKUP($A15,'THÀNH VIÊN'!$A$3:$J$200,9,FALSE),""))</f>
        <v/>
      </c>
      <c r="E15" s="7">
        <f>IF($A15="","",IFERROR(VLOOKUP($A15,'THÀNH VIÊN'!$A$3:$J$200,8,FALSE),""))</f>
        <v/>
      </c>
      <c r="F15" s="7">
        <f>IF($A15="","",IFERROR(VLOOKUP($A15,'THÀNH VIÊN'!$A$3:$J$200,7,FALSE),""))</f>
        <v/>
      </c>
      <c r="G15" s="6" t="inlineStr"/>
      <c r="H15" s="6" t="n"/>
      <c r="I15" s="6" t="n"/>
      <c r="J15" s="15" t="n"/>
      <c r="K15" s="16" t="n"/>
      <c r="L15" s="15" t="n"/>
      <c r="M15" s="16" t="n"/>
      <c r="N15" s="17">
        <f>IF($J15="","",$J15+IF($K15="",0,$K15))</f>
        <v/>
      </c>
      <c r="O15" s="17">
        <f>IF($L15="","",$L15+IF($M15="",0,$M15))</f>
        <v/>
      </c>
      <c r="P15" s="7">
        <f>IF(OR($N15="",$O15=""),"",MAX(0,INT($O15)-INT($N15)))</f>
        <v/>
      </c>
      <c r="Q15" s="7">
        <f>IF(OR($N15="",$O15=""),"",MAX(0,INT($O15)-INT($N15))+1)</f>
        <v/>
      </c>
      <c r="R15" s="6" t="inlineStr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7">
        <f>IF($I15="","",IF(COUNTIF(Provider!$K$5:$K$14,$I15)=0,"—",IF(COUNTIF(Provider!$K$5:$K$14,$I15)=1,INDEX(Provider!$A$5:$A$14,MATCH($I15,Provider!$K$5:$K$14,0)),COUNTIF(Provider!$K$5:$K$14,$I15)&amp;" lựa chọn")))</f>
        <v/>
      </c>
      <c r="AI15" s="6" t="n"/>
    </row>
    <row r="16">
      <c r="A16" s="6" t="inlineStr">
        <is>
          <t>SKJ-291</t>
        </is>
      </c>
      <c r="B16" s="7">
        <f>IF($A16="","",IFERROR(VLOOKUP($A16,'THÀNH VIÊN'!$A$3:$J$200,3,FALSE),""))</f>
        <v/>
      </c>
      <c r="C16" s="7">
        <f>IF($A16="","",IFERROR(VLOOKUP($A16,'THÀNH VIÊN'!$A$3:$J$200,6,FALSE),""))</f>
        <v/>
      </c>
      <c r="D16" s="7">
        <f>IF($A16="","",IFERROR(VLOOKUP($A16,'THÀNH VIÊN'!$A$3:$J$200,9,FALSE),""))</f>
        <v/>
      </c>
      <c r="E16" s="7">
        <f>IF($A16="","",IFERROR(VLOOKUP($A16,'THÀNH VIÊN'!$A$3:$J$200,8,FALSE),""))</f>
        <v/>
      </c>
      <c r="F16" s="7">
        <f>IF($A16="","",IFERROR(VLOOKUP($A16,'THÀNH VIÊN'!$A$3:$J$200,7,FALSE),""))</f>
        <v/>
      </c>
      <c r="G16" s="6" t="inlineStr"/>
      <c r="H16" s="6" t="n"/>
      <c r="I16" s="6" t="n"/>
      <c r="J16" s="15" t="n"/>
      <c r="K16" s="16" t="n"/>
      <c r="L16" s="15" t="n"/>
      <c r="M16" s="16" t="n"/>
      <c r="N16" s="17">
        <f>IF($J16="","",$J16+IF($K16="",0,$K16))</f>
        <v/>
      </c>
      <c r="O16" s="17">
        <f>IF($L16="","",$L16+IF($M16="",0,$M16))</f>
        <v/>
      </c>
      <c r="P16" s="7">
        <f>IF(OR($N16="",$O16=""),"",MAX(0,INT($O16)-INT($N16)))</f>
        <v/>
      </c>
      <c r="Q16" s="7">
        <f>IF(OR($N16="",$O16=""),"",MAX(0,INT($O16)-INT($N16))+1)</f>
        <v/>
      </c>
      <c r="R16" s="6" t="inlineStr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7">
        <f>IF($I16="","",IF(COUNTIF(Provider!$K$5:$K$14,$I16)=0,"—",IF(COUNTIF(Provider!$K$5:$K$14,$I16)=1,INDEX(Provider!$A$5:$A$14,MATCH($I16,Provider!$K$5:$K$14,0)),COUNTIF(Provider!$K$5:$K$14,$I16)&amp;" lựa chọn")))</f>
        <v/>
      </c>
      <c r="AI16" s="6" t="n"/>
    </row>
    <row r="17">
      <c r="A17" s="6" t="inlineStr">
        <is>
          <t>SKJ-108</t>
        </is>
      </c>
      <c r="B17" s="7">
        <f>IF($A17="","",IFERROR(VLOOKUP($A17,'THÀNH VIÊN'!$A$3:$J$200,3,FALSE),""))</f>
        <v/>
      </c>
      <c r="C17" s="7">
        <f>IF($A17="","",IFERROR(VLOOKUP($A17,'THÀNH VIÊN'!$A$3:$J$200,6,FALSE),""))</f>
        <v/>
      </c>
      <c r="D17" s="7">
        <f>IF($A17="","",IFERROR(VLOOKUP($A17,'THÀNH VIÊN'!$A$3:$J$200,9,FALSE),""))</f>
        <v/>
      </c>
      <c r="E17" s="7">
        <f>IF($A17="","",IFERROR(VLOOKUP($A17,'THÀNH VIÊN'!$A$3:$J$200,8,FALSE),""))</f>
        <v/>
      </c>
      <c r="F17" s="7">
        <f>IF($A17="","",IFERROR(VLOOKUP($A17,'THÀNH VIÊN'!$A$3:$J$200,7,FALSE),""))</f>
        <v/>
      </c>
      <c r="G17" s="6" t="inlineStr"/>
      <c r="H17" s="6" t="n"/>
      <c r="I17" s="6" t="n"/>
      <c r="J17" s="15" t="n"/>
      <c r="K17" s="16" t="n"/>
      <c r="L17" s="15" t="n"/>
      <c r="M17" s="16" t="n"/>
      <c r="N17" s="17">
        <f>IF($J17="","",$J17+IF($K17="",0,$K17))</f>
        <v/>
      </c>
      <c r="O17" s="17">
        <f>IF($L17="","",$L17+IF($M17="",0,$M17))</f>
        <v/>
      </c>
      <c r="P17" s="7">
        <f>IF(OR($N17="",$O17=""),"",MAX(0,INT($O17)-INT($N17)))</f>
        <v/>
      </c>
      <c r="Q17" s="7">
        <f>IF(OR($N17="",$O17=""),"",MAX(0,INT($O17)-INT($N17))+1)</f>
        <v/>
      </c>
      <c r="R17" s="6" t="inlineStr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7">
        <f>IF($I17="","",IF(COUNTIF(Provider!$K$5:$K$14,$I17)=0,"—",IF(COUNTIF(Provider!$K$5:$K$14,$I17)=1,INDEX(Provider!$A$5:$A$14,MATCH($I17,Provider!$K$5:$K$14,0)),COUNTIF(Provider!$K$5:$K$14,$I17)&amp;" lựa chọn")))</f>
        <v/>
      </c>
      <c r="AI17" s="6" t="n"/>
    </row>
    <row r="18">
      <c r="A18" s="6" t="inlineStr">
        <is>
          <t>SKJ-109</t>
        </is>
      </c>
      <c r="B18" s="7">
        <f>IF($A18="","",IFERROR(VLOOKUP($A18,'THÀNH VIÊN'!$A$3:$J$200,3,FALSE),""))</f>
        <v/>
      </c>
      <c r="C18" s="7">
        <f>IF($A18="","",IFERROR(VLOOKUP($A18,'THÀNH VIÊN'!$A$3:$J$200,6,FALSE),""))</f>
        <v/>
      </c>
      <c r="D18" s="7">
        <f>IF($A18="","",IFERROR(VLOOKUP($A18,'THÀNH VIÊN'!$A$3:$J$200,9,FALSE),""))</f>
        <v/>
      </c>
      <c r="E18" s="7">
        <f>IF($A18="","",IFERROR(VLOOKUP($A18,'THÀNH VIÊN'!$A$3:$J$200,8,FALSE),""))</f>
        <v/>
      </c>
      <c r="F18" s="7">
        <f>IF($A18="","",IFERROR(VLOOKUP($A18,'THÀNH VIÊN'!$A$3:$J$200,7,FALSE),""))</f>
        <v/>
      </c>
      <c r="G18" s="6" t="inlineStr"/>
      <c r="H18" s="6" t="n"/>
      <c r="I18" s="6" t="n"/>
      <c r="J18" s="15" t="n"/>
      <c r="K18" s="16" t="n"/>
      <c r="L18" s="15" t="n"/>
      <c r="M18" s="16" t="n"/>
      <c r="N18" s="17">
        <f>IF($J18="","",$J18+IF($K18="",0,$K18))</f>
        <v/>
      </c>
      <c r="O18" s="17">
        <f>IF($L18="","",$L18+IF($M18="",0,$M18))</f>
        <v/>
      </c>
      <c r="P18" s="7">
        <f>IF(OR($N18="",$O18=""),"",MAX(0,INT($O18)-INT($N18)))</f>
        <v/>
      </c>
      <c r="Q18" s="7">
        <f>IF(OR($N18="",$O18=""),"",MAX(0,INT($O18)-INT($N18))+1)</f>
        <v/>
      </c>
      <c r="R18" s="6" t="inlineStr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7">
        <f>IF($I18="","",IF(COUNTIF(Provider!$K$5:$K$14,$I18)=0,"—",IF(COUNTIF(Provider!$K$5:$K$14,$I18)=1,INDEX(Provider!$A$5:$A$14,MATCH($I18,Provider!$K$5:$K$14,0)),COUNTIF(Provider!$K$5:$K$14,$I18)&amp;" lựa chọn")))</f>
        <v/>
      </c>
      <c r="AI18" s="6" t="n"/>
    </row>
    <row r="19">
      <c r="A19" s="6" t="inlineStr">
        <is>
          <t>SKJ-088</t>
        </is>
      </c>
      <c r="B19" s="7">
        <f>IF($A19="","",IFERROR(VLOOKUP($A19,'THÀNH VIÊN'!$A$3:$J$200,3,FALSE),""))</f>
        <v/>
      </c>
      <c r="C19" s="7">
        <f>IF($A19="","",IFERROR(VLOOKUP($A19,'THÀNH VIÊN'!$A$3:$J$200,6,FALSE),""))</f>
        <v/>
      </c>
      <c r="D19" s="7">
        <f>IF($A19="","",IFERROR(VLOOKUP($A19,'THÀNH VIÊN'!$A$3:$J$200,9,FALSE),""))</f>
        <v/>
      </c>
      <c r="E19" s="7">
        <f>IF($A19="","",IFERROR(VLOOKUP($A19,'THÀNH VIÊN'!$A$3:$J$200,8,FALSE),""))</f>
        <v/>
      </c>
      <c r="F19" s="7">
        <f>IF($A19="","",IFERROR(VLOOKUP($A19,'THÀNH VIÊN'!$A$3:$J$200,7,FALSE),""))</f>
        <v/>
      </c>
      <c r="G19" s="6" t="inlineStr"/>
      <c r="H19" s="6" t="n"/>
      <c r="I19" s="6" t="n"/>
      <c r="J19" s="15" t="n"/>
      <c r="K19" s="16" t="n"/>
      <c r="L19" s="15" t="n"/>
      <c r="M19" s="16" t="n"/>
      <c r="N19" s="17">
        <f>IF($J19="","",$J19+IF($K19="",0,$K19))</f>
        <v/>
      </c>
      <c r="O19" s="17">
        <f>IF($L19="","",$L19+IF($M19="",0,$M19))</f>
        <v/>
      </c>
      <c r="P19" s="7">
        <f>IF(OR($N19="",$O19=""),"",MAX(0,INT($O19)-INT($N19)))</f>
        <v/>
      </c>
      <c r="Q19" s="7">
        <f>IF(OR($N19="",$O19=""),"",MAX(0,INT($O19)-INT($N19))+1)</f>
        <v/>
      </c>
      <c r="R19" s="6" t="inlineStr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7">
        <f>IF($I19="","",IF(COUNTIF(Provider!$K$5:$K$14,$I19)=0,"—",IF(COUNTIF(Provider!$K$5:$K$14,$I19)=1,INDEX(Provider!$A$5:$A$14,MATCH($I19,Provider!$K$5:$K$14,0)),COUNTIF(Provider!$K$5:$K$14,$I19)&amp;" lựa chọn")))</f>
        <v/>
      </c>
      <c r="AI19" s="6" t="n"/>
    </row>
    <row r="20">
      <c r="A20" s="6" t="inlineStr">
        <is>
          <t>SKJ-036</t>
        </is>
      </c>
      <c r="B20" s="7">
        <f>IF($A20="","",IFERROR(VLOOKUP($A20,'THÀNH VIÊN'!$A$3:$J$200,3,FALSE),""))</f>
        <v/>
      </c>
      <c r="C20" s="7">
        <f>IF($A20="","",IFERROR(VLOOKUP($A20,'THÀNH VIÊN'!$A$3:$J$200,6,FALSE),""))</f>
        <v/>
      </c>
      <c r="D20" s="7">
        <f>IF($A20="","",IFERROR(VLOOKUP($A20,'THÀNH VIÊN'!$A$3:$J$200,9,FALSE),""))</f>
        <v/>
      </c>
      <c r="E20" s="7">
        <f>IF($A20="","",IFERROR(VLOOKUP($A20,'THÀNH VIÊN'!$A$3:$J$200,8,FALSE),""))</f>
        <v/>
      </c>
      <c r="F20" s="7">
        <f>IF($A20="","",IFERROR(VLOOKUP($A20,'THÀNH VIÊN'!$A$3:$J$200,7,FALSE),""))</f>
        <v/>
      </c>
      <c r="G20" s="6" t="inlineStr"/>
      <c r="H20" s="6" t="n"/>
      <c r="I20" s="6" t="n"/>
      <c r="J20" s="15" t="n"/>
      <c r="K20" s="16" t="n"/>
      <c r="L20" s="15" t="n"/>
      <c r="M20" s="16" t="n"/>
      <c r="N20" s="17">
        <f>IF($J20="","",$J20+IF($K20="",0,$K20))</f>
        <v/>
      </c>
      <c r="O20" s="17">
        <f>IF($L20="","",$L20+IF($M20="",0,$M20))</f>
        <v/>
      </c>
      <c r="P20" s="7">
        <f>IF(OR($N20="",$O20=""),"",MAX(0,INT($O20)-INT($N20)))</f>
        <v/>
      </c>
      <c r="Q20" s="7">
        <f>IF(OR($N20="",$O20=""),"",MAX(0,INT($O20)-INT($N20))+1)</f>
        <v/>
      </c>
      <c r="R20" s="6" t="inlineStr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7">
        <f>IF($I20="","",IF(COUNTIF(Provider!$K$5:$K$14,$I20)=0,"—",IF(COUNTIF(Provider!$K$5:$K$14,$I20)=1,INDEX(Provider!$A$5:$A$14,MATCH($I20,Provider!$K$5:$K$14,0)),COUNTIF(Provider!$K$5:$K$14,$I20)&amp;" lựa chọn")))</f>
        <v/>
      </c>
      <c r="AI20" s="6" t="n"/>
    </row>
    <row r="21">
      <c r="A21" s="6" t="inlineStr">
        <is>
          <t>SKJ-074</t>
        </is>
      </c>
      <c r="B21" s="7">
        <f>IF($A21="","",IFERROR(VLOOKUP($A21,'THÀNH VIÊN'!$A$3:$J$200,3,FALSE),""))</f>
        <v/>
      </c>
      <c r="C21" s="7">
        <f>IF($A21="","",IFERROR(VLOOKUP($A21,'THÀNH VIÊN'!$A$3:$J$200,6,FALSE),""))</f>
        <v/>
      </c>
      <c r="D21" s="7">
        <f>IF($A21="","",IFERROR(VLOOKUP($A21,'THÀNH VIÊN'!$A$3:$J$200,9,FALSE),""))</f>
        <v/>
      </c>
      <c r="E21" s="7">
        <f>IF($A21="","",IFERROR(VLOOKUP($A21,'THÀNH VIÊN'!$A$3:$J$200,8,FALSE),""))</f>
        <v/>
      </c>
      <c r="F21" s="7">
        <f>IF($A21="","",IFERROR(VLOOKUP($A21,'THÀNH VIÊN'!$A$3:$J$200,7,FALSE),""))</f>
        <v/>
      </c>
      <c r="G21" s="6" t="inlineStr"/>
      <c r="H21" s="6" t="n"/>
      <c r="I21" s="6" t="n"/>
      <c r="J21" s="15" t="n"/>
      <c r="K21" s="16" t="n"/>
      <c r="L21" s="15" t="n"/>
      <c r="M21" s="16" t="n"/>
      <c r="N21" s="17">
        <f>IF($J21="","",$J21+IF($K21="",0,$K21))</f>
        <v/>
      </c>
      <c r="O21" s="17">
        <f>IF($L21="","",$L21+IF($M21="",0,$M21))</f>
        <v/>
      </c>
      <c r="P21" s="7">
        <f>IF(OR($N21="",$O21=""),"",MAX(0,INT($O21)-INT($N21)))</f>
        <v/>
      </c>
      <c r="Q21" s="7">
        <f>IF(OR($N21="",$O21=""),"",MAX(0,INT($O21)-INT($N21))+1)</f>
        <v/>
      </c>
      <c r="R21" s="6" t="inlineStr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7">
        <f>IF($I21="","",IF(COUNTIF(Provider!$K$5:$K$14,$I21)=0,"—",IF(COUNTIF(Provider!$K$5:$K$14,$I21)=1,INDEX(Provider!$A$5:$A$14,MATCH($I21,Provider!$K$5:$K$14,0)),COUNTIF(Provider!$K$5:$K$14,$I21)&amp;" lựa chọn")))</f>
        <v/>
      </c>
      <c r="AI21" s="6" t="n"/>
    </row>
    <row r="22">
      <c r="A22" s="6" t="inlineStr">
        <is>
          <t>SKJ-235</t>
        </is>
      </c>
      <c r="B22" s="7">
        <f>IF($A22="","",IFERROR(VLOOKUP($A22,'THÀNH VIÊN'!$A$3:$J$200,3,FALSE),""))</f>
        <v/>
      </c>
      <c r="C22" s="7">
        <f>IF($A22="","",IFERROR(VLOOKUP($A22,'THÀNH VIÊN'!$A$3:$J$200,6,FALSE),""))</f>
        <v/>
      </c>
      <c r="D22" s="7">
        <f>IF($A22="","",IFERROR(VLOOKUP($A22,'THÀNH VIÊN'!$A$3:$J$200,9,FALSE),""))</f>
        <v/>
      </c>
      <c r="E22" s="7">
        <f>IF($A22="","",IFERROR(VLOOKUP($A22,'THÀNH VIÊN'!$A$3:$J$200,8,FALSE),""))</f>
        <v/>
      </c>
      <c r="F22" s="7">
        <f>IF($A22="","",IFERROR(VLOOKUP($A22,'THÀNH VIÊN'!$A$3:$J$200,7,FALSE),""))</f>
        <v/>
      </c>
      <c r="G22" s="6" t="inlineStr"/>
      <c r="H22" s="6" t="n"/>
      <c r="I22" s="6" t="n"/>
      <c r="J22" s="15" t="n"/>
      <c r="K22" s="16" t="n"/>
      <c r="L22" s="15" t="n"/>
      <c r="M22" s="16" t="n"/>
      <c r="N22" s="17">
        <f>IF($J22="","",$J22+IF($K22="",0,$K22))</f>
        <v/>
      </c>
      <c r="O22" s="17">
        <f>IF($L22="","",$L22+IF($M22="",0,$M22))</f>
        <v/>
      </c>
      <c r="P22" s="7">
        <f>IF(OR($N22="",$O22=""),"",MAX(0,INT($O22)-INT($N22)))</f>
        <v/>
      </c>
      <c r="Q22" s="7">
        <f>IF(OR($N22="",$O22=""),"",MAX(0,INT($O22)-INT($N22))+1)</f>
        <v/>
      </c>
      <c r="R22" s="6" t="inlineStr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7">
        <f>IF($I22="","",IF(COUNTIF(Provider!$K$5:$K$14,$I22)=0,"—",IF(COUNTIF(Provider!$K$5:$K$14,$I22)=1,INDEX(Provider!$A$5:$A$14,MATCH($I22,Provider!$K$5:$K$14,0)),COUNTIF(Provider!$K$5:$K$14,$I22)&amp;" lựa chọn")))</f>
        <v/>
      </c>
      <c r="AI22" s="6" t="n"/>
    </row>
    <row r="23">
      <c r="A23" s="6" t="inlineStr">
        <is>
          <t>SKJ-258</t>
        </is>
      </c>
      <c r="B23" s="7">
        <f>IF($A23="","",IFERROR(VLOOKUP($A23,'THÀNH VIÊN'!$A$3:$J$200,3,FALSE),""))</f>
        <v/>
      </c>
      <c r="C23" s="7">
        <f>IF($A23="","",IFERROR(VLOOKUP($A23,'THÀNH VIÊN'!$A$3:$J$200,6,FALSE),""))</f>
        <v/>
      </c>
      <c r="D23" s="7">
        <f>IF($A23="","",IFERROR(VLOOKUP($A23,'THÀNH VIÊN'!$A$3:$J$200,9,FALSE),""))</f>
        <v/>
      </c>
      <c r="E23" s="7">
        <f>IF($A23="","",IFERROR(VLOOKUP($A23,'THÀNH VIÊN'!$A$3:$J$200,8,FALSE),""))</f>
        <v/>
      </c>
      <c r="F23" s="7">
        <f>IF($A23="","",IFERROR(VLOOKUP($A23,'THÀNH VIÊN'!$A$3:$J$200,7,FALSE),""))</f>
        <v/>
      </c>
      <c r="G23" s="6" t="inlineStr"/>
      <c r="H23" s="6" t="n"/>
      <c r="I23" s="6" t="n"/>
      <c r="J23" s="15" t="n"/>
      <c r="K23" s="16" t="n"/>
      <c r="L23" s="15" t="n"/>
      <c r="M23" s="16" t="n"/>
      <c r="N23" s="17">
        <f>IF($J23="","",$J23+IF($K23="",0,$K23))</f>
        <v/>
      </c>
      <c r="O23" s="17">
        <f>IF($L23="","",$L23+IF($M23="",0,$M23))</f>
        <v/>
      </c>
      <c r="P23" s="7">
        <f>IF(OR($N23="",$O23=""),"",MAX(0,INT($O23)-INT($N23)))</f>
        <v/>
      </c>
      <c r="Q23" s="7">
        <f>IF(OR($N23="",$O23=""),"",MAX(0,INT($O23)-INT($N23))+1)</f>
        <v/>
      </c>
      <c r="R23" s="6" t="inlineStr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7">
        <f>IF($I23="","",IF(COUNTIF(Provider!$K$5:$K$14,$I23)=0,"—",IF(COUNTIF(Provider!$K$5:$K$14,$I23)=1,INDEX(Provider!$A$5:$A$14,MATCH($I23,Provider!$K$5:$K$14,0)),COUNTIF(Provider!$K$5:$K$14,$I23)&amp;" lựa chọn")))</f>
        <v/>
      </c>
      <c r="AI23" s="6" t="n"/>
    </row>
    <row r="24">
      <c r="A24" s="6" t="inlineStr">
        <is>
          <t>SKJ-855</t>
        </is>
      </c>
      <c r="B24" s="7">
        <f>IF($A24="","",IFERROR(VLOOKUP($A24,'THÀNH VIÊN'!$A$3:$J$200,3,FALSE),""))</f>
        <v/>
      </c>
      <c r="C24" s="7">
        <f>IF($A24="","",IFERROR(VLOOKUP($A24,'THÀNH VIÊN'!$A$3:$J$200,6,FALSE),""))</f>
        <v/>
      </c>
      <c r="D24" s="7">
        <f>IF($A24="","",IFERROR(VLOOKUP($A24,'THÀNH VIÊN'!$A$3:$J$200,9,FALSE),""))</f>
        <v/>
      </c>
      <c r="E24" s="7">
        <f>IF($A24="","",IFERROR(VLOOKUP($A24,'THÀNH VIÊN'!$A$3:$J$200,8,FALSE),""))</f>
        <v/>
      </c>
      <c r="F24" s="7">
        <f>IF($A24="","",IFERROR(VLOOKUP($A24,'THÀNH VIÊN'!$A$3:$J$200,7,FALSE),""))</f>
        <v/>
      </c>
      <c r="G24" s="6" t="inlineStr"/>
      <c r="H24" s="6" t="n"/>
      <c r="I24" s="6" t="n"/>
      <c r="J24" s="15" t="n"/>
      <c r="K24" s="16" t="n"/>
      <c r="L24" s="15" t="n"/>
      <c r="M24" s="16" t="n"/>
      <c r="N24" s="17">
        <f>IF($J24="","",$J24+IF($K24="",0,$K24))</f>
        <v/>
      </c>
      <c r="O24" s="17">
        <f>IF($L24="","",$L24+IF($M24="",0,$M24))</f>
        <v/>
      </c>
      <c r="P24" s="7">
        <f>IF(OR($N24="",$O24=""),"",MAX(0,INT($O24)-INT($N24)))</f>
        <v/>
      </c>
      <c r="Q24" s="7">
        <f>IF(OR($N24="",$O24=""),"",MAX(0,INT($O24)-INT($N24))+1)</f>
        <v/>
      </c>
      <c r="R24" s="6" t="inlineStr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7">
        <f>IF($I24="","",IF(COUNTIF(Provider!$K$5:$K$14,$I24)=0,"—",IF(COUNTIF(Provider!$K$5:$K$14,$I24)=1,INDEX(Provider!$A$5:$A$14,MATCH($I24,Provider!$K$5:$K$14,0)),COUNTIF(Provider!$K$5:$K$14,$I24)&amp;" lựa chọn")))</f>
        <v/>
      </c>
      <c r="AI24" s="6" t="n"/>
    </row>
    <row r="25">
      <c r="A25" s="6" t="inlineStr"/>
      <c r="B25" s="7">
        <f>IF($A25="","",IFERROR(VLOOKUP($A25,'THÀNH VIÊN'!$A$3:$J$200,3,FALSE),""))</f>
        <v/>
      </c>
      <c r="C25" s="7">
        <f>IF($A25="","",IFERROR(VLOOKUP($A25,'THÀNH VIÊN'!$A$3:$J$200,6,FALSE),""))</f>
        <v/>
      </c>
      <c r="D25" s="7">
        <f>IF($A25="","",IFERROR(VLOOKUP($A25,'THÀNH VIÊN'!$A$3:$J$200,9,FALSE),""))</f>
        <v/>
      </c>
      <c r="E25" s="7">
        <f>IF($A25="","",IFERROR(VLOOKUP($A25,'THÀNH VIÊN'!$A$3:$J$200,8,FALSE),""))</f>
        <v/>
      </c>
      <c r="F25" s="7">
        <f>IF($A25="","",IFERROR(VLOOKUP($A25,'THÀNH VIÊN'!$A$3:$J$200,7,FALSE),""))</f>
        <v/>
      </c>
      <c r="G25" s="6" t="inlineStr"/>
      <c r="H25" s="6" t="n"/>
      <c r="I25" s="6" t="n"/>
      <c r="J25" s="15" t="n"/>
      <c r="K25" s="16" t="n"/>
      <c r="L25" s="15" t="n"/>
      <c r="M25" s="16" t="n"/>
      <c r="N25" s="17">
        <f>IF($J25="","",$J25+IF($K25="",0,$K25))</f>
        <v/>
      </c>
      <c r="O25" s="17">
        <f>IF($L25="","",$L25+IF($M25="",0,$M25))</f>
        <v/>
      </c>
      <c r="P25" s="7">
        <f>IF(OR($N25="",$O25=""),"",MAX(0,INT($O25)-INT($N25)))</f>
        <v/>
      </c>
      <c r="Q25" s="7">
        <f>IF(OR($N25="",$O25=""),"",MAX(0,INT($O25)-INT($N25))+1)</f>
        <v/>
      </c>
      <c r="R25" s="6" t="inlineStr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7">
        <f>IF($I25="","",IF(COUNTIF(Provider!$K$5:$K$14,$I25)=0,"—",IF(COUNTIF(Provider!$K$5:$K$14,$I25)=1,INDEX(Provider!$A$5:$A$14,MATCH($I25,Provider!$K$5:$K$14,0)),COUNTIF(Provider!$K$5:$K$14,$I25)&amp;" lựa chọn")))</f>
        <v/>
      </c>
      <c r="AI25" s="6" t="n"/>
    </row>
    <row r="26">
      <c r="A26" s="6" t="inlineStr"/>
      <c r="B26" s="7">
        <f>IF($A26="","",IFERROR(VLOOKUP($A26,'THÀNH VIÊN'!$A$3:$J$200,3,FALSE),""))</f>
        <v/>
      </c>
      <c r="C26" s="7">
        <f>IF($A26="","",IFERROR(VLOOKUP($A26,'THÀNH VIÊN'!$A$3:$J$200,6,FALSE),""))</f>
        <v/>
      </c>
      <c r="D26" s="7">
        <f>IF($A26="","",IFERROR(VLOOKUP($A26,'THÀNH VIÊN'!$A$3:$J$200,9,FALSE),""))</f>
        <v/>
      </c>
      <c r="E26" s="7">
        <f>IF($A26="","",IFERROR(VLOOKUP($A26,'THÀNH VIÊN'!$A$3:$J$200,8,FALSE),""))</f>
        <v/>
      </c>
      <c r="F26" s="7">
        <f>IF($A26="","",IFERROR(VLOOKUP($A26,'THÀNH VIÊN'!$A$3:$J$200,7,FALSE),""))</f>
        <v/>
      </c>
      <c r="G26" s="6" t="inlineStr"/>
      <c r="H26" s="6" t="n"/>
      <c r="I26" s="6" t="n"/>
      <c r="J26" s="15" t="n"/>
      <c r="K26" s="16" t="n"/>
      <c r="L26" s="15" t="n"/>
      <c r="M26" s="16" t="n"/>
      <c r="N26" s="17">
        <f>IF($J26="","",$J26+IF($K26="",0,$K26))</f>
        <v/>
      </c>
      <c r="O26" s="17">
        <f>IF($L26="","",$L26+IF($M26="",0,$M26))</f>
        <v/>
      </c>
      <c r="P26" s="7">
        <f>IF(OR($N26="",$O26=""),"",MAX(0,INT($O26)-INT($N26)))</f>
        <v/>
      </c>
      <c r="Q26" s="7">
        <f>IF(OR($N26="",$O26=""),"",MAX(0,INT($O26)-INT($N26))+1)</f>
        <v/>
      </c>
      <c r="R26" s="6" t="inlineStr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7">
        <f>IF($I26="","",IF(COUNTIF(Provider!$K$5:$K$14,$I26)=0,"—",IF(COUNTIF(Provider!$K$5:$K$14,$I26)=1,INDEX(Provider!$A$5:$A$14,MATCH($I26,Provider!$K$5:$K$14,0)),COUNTIF(Provider!$K$5:$K$14,$I26)&amp;" lựa chọn")))</f>
        <v/>
      </c>
      <c r="AI26" s="6" t="n"/>
    </row>
    <row r="27">
      <c r="A27" s="6" t="inlineStr"/>
      <c r="B27" s="7">
        <f>IF($A27="","",IFERROR(VLOOKUP($A27,'THÀNH VIÊN'!$A$3:$J$200,3,FALSE),""))</f>
        <v/>
      </c>
      <c r="C27" s="7">
        <f>IF($A27="","",IFERROR(VLOOKUP($A27,'THÀNH VIÊN'!$A$3:$J$200,6,FALSE),""))</f>
        <v/>
      </c>
      <c r="D27" s="7">
        <f>IF($A27="","",IFERROR(VLOOKUP($A27,'THÀNH VIÊN'!$A$3:$J$200,9,FALSE),""))</f>
        <v/>
      </c>
      <c r="E27" s="7">
        <f>IF($A27="","",IFERROR(VLOOKUP($A27,'THÀNH VIÊN'!$A$3:$J$200,8,FALSE),""))</f>
        <v/>
      </c>
      <c r="F27" s="7">
        <f>IF($A27="","",IFERROR(VLOOKUP($A27,'THÀNH VIÊN'!$A$3:$J$200,7,FALSE),""))</f>
        <v/>
      </c>
      <c r="G27" s="6" t="inlineStr"/>
      <c r="H27" s="6" t="n"/>
      <c r="I27" s="6" t="n"/>
      <c r="J27" s="15" t="n"/>
      <c r="K27" s="16" t="n"/>
      <c r="L27" s="15" t="n"/>
      <c r="M27" s="16" t="n"/>
      <c r="N27" s="17">
        <f>IF($J27="","",$J27+IF($K27="",0,$K27))</f>
        <v/>
      </c>
      <c r="O27" s="17">
        <f>IF($L27="","",$L27+IF($M27="",0,$M27))</f>
        <v/>
      </c>
      <c r="P27" s="7">
        <f>IF(OR($N27="",$O27=""),"",MAX(0,INT($O27)-INT($N27)))</f>
        <v/>
      </c>
      <c r="Q27" s="7">
        <f>IF(OR($N27="",$O27=""),"",MAX(0,INT($O27)-INT($N27))+1)</f>
        <v/>
      </c>
      <c r="R27" s="6" t="inlineStr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7">
        <f>IF($I27="","",IF(COUNTIF(Provider!$K$5:$K$14,$I27)=0,"—",IF(COUNTIF(Provider!$K$5:$K$14,$I27)=1,INDEX(Provider!$A$5:$A$14,MATCH($I27,Provider!$K$5:$K$14,0)),COUNTIF(Provider!$K$5:$K$14,$I27)&amp;" lựa chọn")))</f>
        <v/>
      </c>
      <c r="AI27" s="6" t="n"/>
    </row>
    <row r="28">
      <c r="A28" s="6" t="inlineStr"/>
      <c r="B28" s="7">
        <f>IF($A28="","",IFERROR(VLOOKUP($A28,'THÀNH VIÊN'!$A$3:$J$200,3,FALSE),""))</f>
        <v/>
      </c>
      <c r="C28" s="7">
        <f>IF($A28="","",IFERROR(VLOOKUP($A28,'THÀNH VIÊN'!$A$3:$J$200,6,FALSE),""))</f>
        <v/>
      </c>
      <c r="D28" s="7">
        <f>IF($A28="","",IFERROR(VLOOKUP($A28,'THÀNH VIÊN'!$A$3:$J$200,9,FALSE),""))</f>
        <v/>
      </c>
      <c r="E28" s="7">
        <f>IF($A28="","",IFERROR(VLOOKUP($A28,'THÀNH VIÊN'!$A$3:$J$200,8,FALSE),""))</f>
        <v/>
      </c>
      <c r="F28" s="7">
        <f>IF($A28="","",IFERROR(VLOOKUP($A28,'THÀNH VIÊN'!$A$3:$J$200,7,FALSE),""))</f>
        <v/>
      </c>
      <c r="G28" s="6" t="inlineStr"/>
      <c r="H28" s="6" t="n"/>
      <c r="I28" s="6" t="n"/>
      <c r="J28" s="15" t="n"/>
      <c r="K28" s="16" t="n"/>
      <c r="L28" s="15" t="n"/>
      <c r="M28" s="16" t="n"/>
      <c r="N28" s="17">
        <f>IF($J28="","",$J28+IF($K28="",0,$K28))</f>
        <v/>
      </c>
      <c r="O28" s="17">
        <f>IF($L28="","",$L28+IF($M28="",0,$M28))</f>
        <v/>
      </c>
      <c r="P28" s="7">
        <f>IF(OR($N28="",$O28=""),"",MAX(0,INT($O28)-INT($N28)))</f>
        <v/>
      </c>
      <c r="Q28" s="7">
        <f>IF(OR($N28="",$O28=""),"",MAX(0,INT($O28)-INT($N28))+1)</f>
        <v/>
      </c>
      <c r="R28" s="6" t="inlineStr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7">
        <f>IF($I28="","",IF(COUNTIF(Provider!$K$5:$K$14,$I28)=0,"—",IF(COUNTIF(Provider!$K$5:$K$14,$I28)=1,INDEX(Provider!$A$5:$A$14,MATCH($I28,Provider!$K$5:$K$14,0)),COUNTIF(Provider!$K$5:$K$14,$I28)&amp;" lựa chọn")))</f>
        <v/>
      </c>
      <c r="AI28" s="6" t="n"/>
    </row>
    <row r="29">
      <c r="A29" s="6" t="inlineStr"/>
      <c r="B29" s="7">
        <f>IF($A29="","",IFERROR(VLOOKUP($A29,'THÀNH VIÊN'!$A$3:$J$200,3,FALSE),""))</f>
        <v/>
      </c>
      <c r="C29" s="7">
        <f>IF($A29="","",IFERROR(VLOOKUP($A29,'THÀNH VIÊN'!$A$3:$J$200,6,FALSE),""))</f>
        <v/>
      </c>
      <c r="D29" s="7">
        <f>IF($A29="","",IFERROR(VLOOKUP($A29,'THÀNH VIÊN'!$A$3:$J$200,9,FALSE),""))</f>
        <v/>
      </c>
      <c r="E29" s="7">
        <f>IF($A29="","",IFERROR(VLOOKUP($A29,'THÀNH VIÊN'!$A$3:$J$200,8,FALSE),""))</f>
        <v/>
      </c>
      <c r="F29" s="7">
        <f>IF($A29="","",IFERROR(VLOOKUP($A29,'THÀNH VIÊN'!$A$3:$J$200,7,FALSE),""))</f>
        <v/>
      </c>
      <c r="G29" s="6" t="inlineStr"/>
      <c r="H29" s="6" t="n"/>
      <c r="I29" s="6" t="n"/>
      <c r="J29" s="15" t="n"/>
      <c r="K29" s="16" t="n"/>
      <c r="L29" s="15" t="n"/>
      <c r="M29" s="16" t="n"/>
      <c r="N29" s="17">
        <f>IF($J29="","",$J29+IF($K29="",0,$K29))</f>
        <v/>
      </c>
      <c r="O29" s="17">
        <f>IF($L29="","",$L29+IF($M29="",0,$M29))</f>
        <v/>
      </c>
      <c r="P29" s="7">
        <f>IF(OR($N29="",$O29=""),"",MAX(0,INT($O29)-INT($N29)))</f>
        <v/>
      </c>
      <c r="Q29" s="7">
        <f>IF(OR($N29="",$O29=""),"",MAX(0,INT($O29)-INT($N29))+1)</f>
        <v/>
      </c>
      <c r="R29" s="6" t="inlineStr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7">
        <f>IF($I29="","",IF(COUNTIF(Provider!$K$5:$K$14,$I29)=0,"—",IF(COUNTIF(Provider!$K$5:$K$14,$I29)=1,INDEX(Provider!$A$5:$A$14,MATCH($I29,Provider!$K$5:$K$14,0)),COUNTIF(Provider!$K$5:$K$14,$I29)&amp;" lựa chọn")))</f>
        <v/>
      </c>
      <c r="AI29" s="6" t="n"/>
    </row>
    <row r="30">
      <c r="A30" s="6" t="inlineStr"/>
      <c r="B30" s="7">
        <f>IF($A30="","",IFERROR(VLOOKUP($A30,'THÀNH VIÊN'!$A$3:$J$200,3,FALSE),""))</f>
        <v/>
      </c>
      <c r="C30" s="7">
        <f>IF($A30="","",IFERROR(VLOOKUP($A30,'THÀNH VIÊN'!$A$3:$J$200,6,FALSE),""))</f>
        <v/>
      </c>
      <c r="D30" s="7">
        <f>IF($A30="","",IFERROR(VLOOKUP($A30,'THÀNH VIÊN'!$A$3:$J$200,9,FALSE),""))</f>
        <v/>
      </c>
      <c r="E30" s="7">
        <f>IF($A30="","",IFERROR(VLOOKUP($A30,'THÀNH VIÊN'!$A$3:$J$200,8,FALSE),""))</f>
        <v/>
      </c>
      <c r="F30" s="7">
        <f>IF($A30="","",IFERROR(VLOOKUP($A30,'THÀNH VIÊN'!$A$3:$J$200,7,FALSE),""))</f>
        <v/>
      </c>
      <c r="G30" s="6" t="inlineStr"/>
      <c r="H30" s="6" t="n"/>
      <c r="I30" s="6" t="n"/>
      <c r="J30" s="15" t="n"/>
      <c r="K30" s="16" t="n"/>
      <c r="L30" s="15" t="n"/>
      <c r="M30" s="16" t="n"/>
      <c r="N30" s="17">
        <f>IF($J30="","",$J30+IF($K30="",0,$K30))</f>
        <v/>
      </c>
      <c r="O30" s="17">
        <f>IF($L30="","",$L30+IF($M30="",0,$M30))</f>
        <v/>
      </c>
      <c r="P30" s="7">
        <f>IF(OR($N30="",$O30=""),"",MAX(0,INT($O30)-INT($N30)))</f>
        <v/>
      </c>
      <c r="Q30" s="7">
        <f>IF(OR($N30="",$O30=""),"",MAX(0,INT($O30)-INT($N30))+1)</f>
        <v/>
      </c>
      <c r="R30" s="6" t="inlineStr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7">
        <f>IF($I30="","",IF(COUNTIF(Provider!$K$5:$K$14,$I30)=0,"—",IF(COUNTIF(Provider!$K$5:$K$14,$I30)=1,INDEX(Provider!$A$5:$A$14,MATCH($I30,Provider!$K$5:$K$14,0)),COUNTIF(Provider!$K$5:$K$14,$I30)&amp;" lựa chọn")))</f>
        <v/>
      </c>
      <c r="AI30" s="6" t="n"/>
    </row>
    <row r="31">
      <c r="A31" s="6" t="inlineStr"/>
      <c r="B31" s="7">
        <f>IF($A31="","",IFERROR(VLOOKUP($A31,'THÀNH VIÊN'!$A$3:$J$200,3,FALSE),""))</f>
        <v/>
      </c>
      <c r="C31" s="7">
        <f>IF($A31="","",IFERROR(VLOOKUP($A31,'THÀNH VIÊN'!$A$3:$J$200,6,FALSE),""))</f>
        <v/>
      </c>
      <c r="D31" s="7">
        <f>IF($A31="","",IFERROR(VLOOKUP($A31,'THÀNH VIÊN'!$A$3:$J$200,9,FALSE),""))</f>
        <v/>
      </c>
      <c r="E31" s="7">
        <f>IF($A31="","",IFERROR(VLOOKUP($A31,'THÀNH VIÊN'!$A$3:$J$200,8,FALSE),""))</f>
        <v/>
      </c>
      <c r="F31" s="7">
        <f>IF($A31="","",IFERROR(VLOOKUP($A31,'THÀNH VIÊN'!$A$3:$J$200,7,FALSE),""))</f>
        <v/>
      </c>
      <c r="G31" s="6" t="inlineStr"/>
      <c r="H31" s="6" t="n"/>
      <c r="I31" s="6" t="n"/>
      <c r="J31" s="15" t="n"/>
      <c r="K31" s="16" t="n"/>
      <c r="L31" s="15" t="n"/>
      <c r="M31" s="16" t="n"/>
      <c r="N31" s="17">
        <f>IF($J31="","",$J31+IF($K31="",0,$K31))</f>
        <v/>
      </c>
      <c r="O31" s="17">
        <f>IF($L31="","",$L31+IF($M31="",0,$M31))</f>
        <v/>
      </c>
      <c r="P31" s="7">
        <f>IF(OR($N31="",$O31=""),"",MAX(0,INT($O31)-INT($N31)))</f>
        <v/>
      </c>
      <c r="Q31" s="7">
        <f>IF(OR($N31="",$O31=""),"",MAX(0,INT($O31)-INT($N31))+1)</f>
        <v/>
      </c>
      <c r="R31" s="6" t="inlineStr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7">
        <f>IF($I31="","",IF(COUNTIF(Provider!$K$5:$K$14,$I31)=0,"—",IF(COUNTIF(Provider!$K$5:$K$14,$I31)=1,INDEX(Provider!$A$5:$A$14,MATCH($I31,Provider!$K$5:$K$14,0)),COUNTIF(Provider!$K$5:$K$14,$I31)&amp;" lựa chọn")))</f>
        <v/>
      </c>
      <c r="AI31" s="6" t="n"/>
    </row>
    <row r="32">
      <c r="A32" s="6" t="inlineStr"/>
      <c r="B32" s="7">
        <f>IF($A32="","",IFERROR(VLOOKUP($A32,'THÀNH VIÊN'!$A$3:$J$200,3,FALSE),""))</f>
        <v/>
      </c>
      <c r="C32" s="7">
        <f>IF($A32="","",IFERROR(VLOOKUP($A32,'THÀNH VIÊN'!$A$3:$J$200,6,FALSE),""))</f>
        <v/>
      </c>
      <c r="D32" s="7">
        <f>IF($A32="","",IFERROR(VLOOKUP($A32,'THÀNH VIÊN'!$A$3:$J$200,9,FALSE),""))</f>
        <v/>
      </c>
      <c r="E32" s="7">
        <f>IF($A32="","",IFERROR(VLOOKUP($A32,'THÀNH VIÊN'!$A$3:$J$200,8,FALSE),""))</f>
        <v/>
      </c>
      <c r="F32" s="7">
        <f>IF($A32="","",IFERROR(VLOOKUP($A32,'THÀNH VIÊN'!$A$3:$J$200,7,FALSE),""))</f>
        <v/>
      </c>
      <c r="G32" s="6" t="inlineStr"/>
      <c r="H32" s="6" t="n"/>
      <c r="I32" s="6" t="n"/>
      <c r="J32" s="15" t="n"/>
      <c r="K32" s="16" t="n"/>
      <c r="L32" s="15" t="n"/>
      <c r="M32" s="16" t="n"/>
      <c r="N32" s="17">
        <f>IF($J32="","",$J32+IF($K32="",0,$K32))</f>
        <v/>
      </c>
      <c r="O32" s="17">
        <f>IF($L32="","",$L32+IF($M32="",0,$M32))</f>
        <v/>
      </c>
      <c r="P32" s="7">
        <f>IF(OR($N32="",$O32=""),"",MAX(0,INT($O32)-INT($N32)))</f>
        <v/>
      </c>
      <c r="Q32" s="7">
        <f>IF(OR($N32="",$O32=""),"",MAX(0,INT($O32)-INT($N32))+1)</f>
        <v/>
      </c>
      <c r="R32" s="6" t="inlineStr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7">
        <f>IF($I32="","",IF(COUNTIF(Provider!$K$5:$K$14,$I32)=0,"—",IF(COUNTIF(Provider!$K$5:$K$14,$I32)=1,INDEX(Provider!$A$5:$A$14,MATCH($I32,Provider!$K$5:$K$14,0)),COUNTIF(Provider!$K$5:$K$14,$I32)&amp;" lựa chọn")))</f>
        <v/>
      </c>
      <c r="AI32" s="6" t="n"/>
    </row>
    <row r="33">
      <c r="A33" s="6" t="inlineStr"/>
      <c r="B33" s="7">
        <f>IF($A33="","",IFERROR(VLOOKUP($A33,'THÀNH VIÊN'!$A$3:$J$200,3,FALSE),""))</f>
        <v/>
      </c>
      <c r="C33" s="7">
        <f>IF($A33="","",IFERROR(VLOOKUP($A33,'THÀNH VIÊN'!$A$3:$J$200,6,FALSE),""))</f>
        <v/>
      </c>
      <c r="D33" s="7">
        <f>IF($A33="","",IFERROR(VLOOKUP($A33,'THÀNH VIÊN'!$A$3:$J$200,9,FALSE),""))</f>
        <v/>
      </c>
      <c r="E33" s="7">
        <f>IF($A33="","",IFERROR(VLOOKUP($A33,'THÀNH VIÊN'!$A$3:$J$200,8,FALSE),""))</f>
        <v/>
      </c>
      <c r="F33" s="7">
        <f>IF($A33="","",IFERROR(VLOOKUP($A33,'THÀNH VIÊN'!$A$3:$J$200,7,FALSE),""))</f>
        <v/>
      </c>
      <c r="G33" s="6" t="inlineStr"/>
      <c r="H33" s="6" t="n"/>
      <c r="I33" s="6" t="n"/>
      <c r="J33" s="15" t="n"/>
      <c r="K33" s="16" t="n"/>
      <c r="L33" s="15" t="n"/>
      <c r="M33" s="16" t="n"/>
      <c r="N33" s="17">
        <f>IF($J33="","",$J33+IF($K33="",0,$K33))</f>
        <v/>
      </c>
      <c r="O33" s="17">
        <f>IF($L33="","",$L33+IF($M33="",0,$M33))</f>
        <v/>
      </c>
      <c r="P33" s="7">
        <f>IF(OR($N33="",$O33=""),"",MAX(0,INT($O33)-INT($N33)))</f>
        <v/>
      </c>
      <c r="Q33" s="7">
        <f>IF(OR($N33="",$O33=""),"",MAX(0,INT($O33)-INT($N33))+1)</f>
        <v/>
      </c>
      <c r="R33" s="6" t="inlineStr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7">
        <f>IF($I33="","",IF(COUNTIF(Provider!$K$5:$K$14,$I33)=0,"—",IF(COUNTIF(Provider!$K$5:$K$14,$I33)=1,INDEX(Provider!$A$5:$A$14,MATCH($I33,Provider!$K$5:$K$14,0)),COUNTIF(Provider!$K$5:$K$14,$I33)&amp;" lựa chọn")))</f>
        <v/>
      </c>
      <c r="AI33" s="6" t="n"/>
    </row>
    <row r="34">
      <c r="A34" s="6" t="inlineStr"/>
      <c r="B34" s="7">
        <f>IF($A34="","",IFERROR(VLOOKUP($A34,'THÀNH VIÊN'!$A$3:$J$200,3,FALSE),""))</f>
        <v/>
      </c>
      <c r="C34" s="7">
        <f>IF($A34="","",IFERROR(VLOOKUP($A34,'THÀNH VIÊN'!$A$3:$J$200,6,FALSE),""))</f>
        <v/>
      </c>
      <c r="D34" s="7">
        <f>IF($A34="","",IFERROR(VLOOKUP($A34,'THÀNH VIÊN'!$A$3:$J$200,9,FALSE),""))</f>
        <v/>
      </c>
      <c r="E34" s="7">
        <f>IF($A34="","",IFERROR(VLOOKUP($A34,'THÀNH VIÊN'!$A$3:$J$200,8,FALSE),""))</f>
        <v/>
      </c>
      <c r="F34" s="7">
        <f>IF($A34="","",IFERROR(VLOOKUP($A34,'THÀNH VIÊN'!$A$3:$J$200,7,FALSE),""))</f>
        <v/>
      </c>
      <c r="G34" s="6" t="inlineStr"/>
      <c r="H34" s="6" t="n"/>
      <c r="I34" s="6" t="n"/>
      <c r="J34" s="15" t="n"/>
      <c r="K34" s="16" t="n"/>
      <c r="L34" s="15" t="n"/>
      <c r="M34" s="16" t="n"/>
      <c r="N34" s="17">
        <f>IF($J34="","",$J34+IF($K34="",0,$K34))</f>
        <v/>
      </c>
      <c r="O34" s="17">
        <f>IF($L34="","",$L34+IF($M34="",0,$M34))</f>
        <v/>
      </c>
      <c r="P34" s="7">
        <f>IF(OR($N34="",$O34=""),"",MAX(0,INT($O34)-INT($N34)))</f>
        <v/>
      </c>
      <c r="Q34" s="7">
        <f>IF(OR($N34="",$O34=""),"",MAX(0,INT($O34)-INT($N34))+1)</f>
        <v/>
      </c>
      <c r="R34" s="6" t="inlineStr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7">
        <f>IF($I34="","",IF(COUNTIF(Provider!$K$5:$K$14,$I34)=0,"—",IF(COUNTIF(Provider!$K$5:$K$14,$I34)=1,INDEX(Provider!$A$5:$A$14,MATCH($I34,Provider!$K$5:$K$14,0)),COUNTIF(Provider!$K$5:$K$14,$I34)&amp;" lựa chọn")))</f>
        <v/>
      </c>
      <c r="AI34" s="6" t="n"/>
    </row>
    <row r="35">
      <c r="A35" s="6" t="inlineStr"/>
      <c r="B35" s="7">
        <f>IF($A35="","",IFERROR(VLOOKUP($A35,'THÀNH VIÊN'!$A$3:$J$200,3,FALSE),""))</f>
        <v/>
      </c>
      <c r="C35" s="7">
        <f>IF($A35="","",IFERROR(VLOOKUP($A35,'THÀNH VIÊN'!$A$3:$J$200,6,FALSE),""))</f>
        <v/>
      </c>
      <c r="D35" s="7">
        <f>IF($A35="","",IFERROR(VLOOKUP($A35,'THÀNH VIÊN'!$A$3:$J$200,9,FALSE),""))</f>
        <v/>
      </c>
      <c r="E35" s="7">
        <f>IF($A35="","",IFERROR(VLOOKUP($A35,'THÀNH VIÊN'!$A$3:$J$200,8,FALSE),""))</f>
        <v/>
      </c>
      <c r="F35" s="7">
        <f>IF($A35="","",IFERROR(VLOOKUP($A35,'THÀNH VIÊN'!$A$3:$J$200,7,FALSE),""))</f>
        <v/>
      </c>
      <c r="G35" s="6" t="inlineStr"/>
      <c r="H35" s="6" t="n"/>
      <c r="I35" s="6" t="n"/>
      <c r="J35" s="15" t="n"/>
      <c r="K35" s="16" t="n"/>
      <c r="L35" s="15" t="n"/>
      <c r="M35" s="16" t="n"/>
      <c r="N35" s="17">
        <f>IF($J35="","",$J35+IF($K35="",0,$K35))</f>
        <v/>
      </c>
      <c r="O35" s="17">
        <f>IF($L35="","",$L35+IF($M35="",0,$M35))</f>
        <v/>
      </c>
      <c r="P35" s="7">
        <f>IF(OR($N35="",$O35=""),"",MAX(0,INT($O35)-INT($N35)))</f>
        <v/>
      </c>
      <c r="Q35" s="7">
        <f>IF(OR($N35="",$O35=""),"",MAX(0,INT($O35)-INT($N35))+1)</f>
        <v/>
      </c>
      <c r="R35" s="6" t="inlineStr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7">
        <f>IF($I35="","",IF(COUNTIF(Provider!$K$5:$K$14,$I35)=0,"—",IF(COUNTIF(Provider!$K$5:$K$14,$I35)=1,INDEX(Provider!$A$5:$A$14,MATCH($I35,Provider!$K$5:$K$14,0)),COUNTIF(Provider!$K$5:$K$14,$I35)&amp;" lựa chọn")))</f>
        <v/>
      </c>
      <c r="AI35" s="6" t="n"/>
    </row>
    <row r="36">
      <c r="A36" s="6" t="inlineStr"/>
      <c r="B36" s="7">
        <f>IF($A36="","",IFERROR(VLOOKUP($A36,'THÀNH VIÊN'!$A$3:$J$200,3,FALSE),""))</f>
        <v/>
      </c>
      <c r="C36" s="7">
        <f>IF($A36="","",IFERROR(VLOOKUP($A36,'THÀNH VIÊN'!$A$3:$J$200,6,FALSE),""))</f>
        <v/>
      </c>
      <c r="D36" s="7">
        <f>IF($A36="","",IFERROR(VLOOKUP($A36,'THÀNH VIÊN'!$A$3:$J$200,9,FALSE),""))</f>
        <v/>
      </c>
      <c r="E36" s="7">
        <f>IF($A36="","",IFERROR(VLOOKUP($A36,'THÀNH VIÊN'!$A$3:$J$200,8,FALSE),""))</f>
        <v/>
      </c>
      <c r="F36" s="7">
        <f>IF($A36="","",IFERROR(VLOOKUP($A36,'THÀNH VIÊN'!$A$3:$J$200,7,FALSE),""))</f>
        <v/>
      </c>
      <c r="G36" s="6" t="inlineStr"/>
      <c r="H36" s="6" t="n"/>
      <c r="I36" s="6" t="n"/>
      <c r="J36" s="15" t="n"/>
      <c r="K36" s="16" t="n"/>
      <c r="L36" s="15" t="n"/>
      <c r="M36" s="16" t="n"/>
      <c r="N36" s="17">
        <f>IF($J36="","",$J36+IF($K36="",0,$K36))</f>
        <v/>
      </c>
      <c r="O36" s="17">
        <f>IF($L36="","",$L36+IF($M36="",0,$M36))</f>
        <v/>
      </c>
      <c r="P36" s="7">
        <f>IF(OR($N36="",$O36=""),"",MAX(0,INT($O36)-INT($N36)))</f>
        <v/>
      </c>
      <c r="Q36" s="7">
        <f>IF(OR($N36="",$O36=""),"",MAX(0,INT($O36)-INT($N36))+1)</f>
        <v/>
      </c>
      <c r="R36" s="6" t="inlineStr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7">
        <f>IF($I36="","",IF(COUNTIF(Provider!$K$5:$K$14,$I36)=0,"—",IF(COUNTIF(Provider!$K$5:$K$14,$I36)=1,INDEX(Provider!$A$5:$A$14,MATCH($I36,Provider!$K$5:$K$14,0)),COUNTIF(Provider!$K$5:$K$14,$I36)&amp;" lựa chọn")))</f>
        <v/>
      </c>
      <c r="AI36" s="6" t="n"/>
    </row>
    <row r="37">
      <c r="A37" s="6" t="inlineStr"/>
      <c r="B37" s="7">
        <f>IF($A37="","",IFERROR(VLOOKUP($A37,'THÀNH VIÊN'!$A$3:$J$200,3,FALSE),""))</f>
        <v/>
      </c>
      <c r="C37" s="7">
        <f>IF($A37="","",IFERROR(VLOOKUP($A37,'THÀNH VIÊN'!$A$3:$J$200,6,FALSE),""))</f>
        <v/>
      </c>
      <c r="D37" s="7">
        <f>IF($A37="","",IFERROR(VLOOKUP($A37,'THÀNH VIÊN'!$A$3:$J$200,9,FALSE),""))</f>
        <v/>
      </c>
      <c r="E37" s="7">
        <f>IF($A37="","",IFERROR(VLOOKUP($A37,'THÀNH VIÊN'!$A$3:$J$200,8,FALSE),""))</f>
        <v/>
      </c>
      <c r="F37" s="7">
        <f>IF($A37="","",IFERROR(VLOOKUP($A37,'THÀNH VIÊN'!$A$3:$J$200,7,FALSE),""))</f>
        <v/>
      </c>
      <c r="G37" s="6" t="inlineStr"/>
      <c r="H37" s="6" t="n"/>
      <c r="I37" s="6" t="n"/>
      <c r="J37" s="15" t="n"/>
      <c r="K37" s="16" t="n"/>
      <c r="L37" s="15" t="n"/>
      <c r="M37" s="16" t="n"/>
      <c r="N37" s="17">
        <f>IF($J37="","",$J37+IF($K37="",0,$K37))</f>
        <v/>
      </c>
      <c r="O37" s="17">
        <f>IF($L37="","",$L37+IF($M37="",0,$M37))</f>
        <v/>
      </c>
      <c r="P37" s="7">
        <f>IF(OR($N37="",$O37=""),"",MAX(0,INT($O37)-INT($N37)))</f>
        <v/>
      </c>
      <c r="Q37" s="7">
        <f>IF(OR($N37="",$O37=""),"",MAX(0,INT($O37)-INT($N37))+1)</f>
        <v/>
      </c>
      <c r="R37" s="6" t="inlineStr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7">
        <f>IF($I37="","",IF(COUNTIF(Provider!$K$5:$K$14,$I37)=0,"—",IF(COUNTIF(Provider!$K$5:$K$14,$I37)=1,INDEX(Provider!$A$5:$A$14,MATCH($I37,Provider!$K$5:$K$14,0)),COUNTIF(Provider!$K$5:$K$14,$I37)&amp;" lựa chọn")))</f>
        <v/>
      </c>
      <c r="AI37" s="6" t="n"/>
    </row>
    <row r="38">
      <c r="A38" s="6" t="inlineStr"/>
      <c r="B38" s="7">
        <f>IF($A38="","",IFERROR(VLOOKUP($A38,'THÀNH VIÊN'!$A$3:$J$200,3,FALSE),""))</f>
        <v/>
      </c>
      <c r="C38" s="7">
        <f>IF($A38="","",IFERROR(VLOOKUP($A38,'THÀNH VIÊN'!$A$3:$J$200,6,FALSE),""))</f>
        <v/>
      </c>
      <c r="D38" s="7">
        <f>IF($A38="","",IFERROR(VLOOKUP($A38,'THÀNH VIÊN'!$A$3:$J$200,9,FALSE),""))</f>
        <v/>
      </c>
      <c r="E38" s="7">
        <f>IF($A38="","",IFERROR(VLOOKUP($A38,'THÀNH VIÊN'!$A$3:$J$200,8,FALSE),""))</f>
        <v/>
      </c>
      <c r="F38" s="7">
        <f>IF($A38="","",IFERROR(VLOOKUP($A38,'THÀNH VIÊN'!$A$3:$J$200,7,FALSE),""))</f>
        <v/>
      </c>
      <c r="G38" s="6" t="inlineStr"/>
      <c r="H38" s="6" t="n"/>
      <c r="I38" s="6" t="n"/>
      <c r="J38" s="15" t="n"/>
      <c r="K38" s="16" t="n"/>
      <c r="L38" s="15" t="n"/>
      <c r="M38" s="16" t="n"/>
      <c r="N38" s="17">
        <f>IF($J38="","",$J38+IF($K38="",0,$K38))</f>
        <v/>
      </c>
      <c r="O38" s="17">
        <f>IF($L38="","",$L38+IF($M38="",0,$M38))</f>
        <v/>
      </c>
      <c r="P38" s="7">
        <f>IF(OR($N38="",$O38=""),"",MAX(0,INT($O38)-INT($N38)))</f>
        <v/>
      </c>
      <c r="Q38" s="7">
        <f>IF(OR($N38="",$O38=""),"",MAX(0,INT($O38)-INT($N38))+1)</f>
        <v/>
      </c>
      <c r="R38" s="6" t="inlineStr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7">
        <f>IF($I38="","",IF(COUNTIF(Provider!$K$5:$K$14,$I38)=0,"—",IF(COUNTIF(Provider!$K$5:$K$14,$I38)=1,INDEX(Provider!$A$5:$A$14,MATCH($I38,Provider!$K$5:$K$14,0)),COUNTIF(Provider!$K$5:$K$14,$I38)&amp;" lựa chọn")))</f>
        <v/>
      </c>
      <c r="AI38" s="6" t="n"/>
    </row>
    <row r="39">
      <c r="A39" s="6" t="inlineStr"/>
      <c r="B39" s="7">
        <f>IF($A39="","",IFERROR(VLOOKUP($A39,'THÀNH VIÊN'!$A$3:$J$200,3,FALSE),""))</f>
        <v/>
      </c>
      <c r="C39" s="7">
        <f>IF($A39="","",IFERROR(VLOOKUP($A39,'THÀNH VIÊN'!$A$3:$J$200,6,FALSE),""))</f>
        <v/>
      </c>
      <c r="D39" s="7">
        <f>IF($A39="","",IFERROR(VLOOKUP($A39,'THÀNH VIÊN'!$A$3:$J$200,9,FALSE),""))</f>
        <v/>
      </c>
      <c r="E39" s="7">
        <f>IF($A39="","",IFERROR(VLOOKUP($A39,'THÀNH VIÊN'!$A$3:$J$200,8,FALSE),""))</f>
        <v/>
      </c>
      <c r="F39" s="7">
        <f>IF($A39="","",IFERROR(VLOOKUP($A39,'THÀNH VIÊN'!$A$3:$J$200,7,FALSE),""))</f>
        <v/>
      </c>
      <c r="G39" s="6" t="inlineStr"/>
      <c r="H39" s="6" t="n"/>
      <c r="I39" s="6" t="n"/>
      <c r="J39" s="15" t="n"/>
      <c r="K39" s="16" t="n"/>
      <c r="L39" s="15" t="n"/>
      <c r="M39" s="16" t="n"/>
      <c r="N39" s="17">
        <f>IF($J39="","",$J39+IF($K39="",0,$K39))</f>
        <v/>
      </c>
      <c r="O39" s="17">
        <f>IF($L39="","",$L39+IF($M39="",0,$M39))</f>
        <v/>
      </c>
      <c r="P39" s="7">
        <f>IF(OR($N39="",$O39=""),"",MAX(0,INT($O39)-INT($N39)))</f>
        <v/>
      </c>
      <c r="Q39" s="7">
        <f>IF(OR($N39="",$O39=""),"",MAX(0,INT($O39)-INT($N39))+1)</f>
        <v/>
      </c>
      <c r="R39" s="6" t="inlineStr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7">
        <f>IF($I39="","",IF(COUNTIF(Provider!$K$5:$K$14,$I39)=0,"—",IF(COUNTIF(Provider!$K$5:$K$14,$I39)=1,INDEX(Provider!$A$5:$A$14,MATCH($I39,Provider!$K$5:$K$14,0)),COUNTIF(Provider!$K$5:$K$14,$I39)&amp;" lựa chọn")))</f>
        <v/>
      </c>
      <c r="AI39" s="6" t="n"/>
    </row>
    <row r="40">
      <c r="A40" s="6" t="inlineStr"/>
      <c r="B40" s="7">
        <f>IF($A40="","",IFERROR(VLOOKUP($A40,'THÀNH VIÊN'!$A$3:$J$200,3,FALSE),""))</f>
        <v/>
      </c>
      <c r="C40" s="7">
        <f>IF($A40="","",IFERROR(VLOOKUP($A40,'THÀNH VIÊN'!$A$3:$J$200,6,FALSE),""))</f>
        <v/>
      </c>
      <c r="D40" s="7">
        <f>IF($A40="","",IFERROR(VLOOKUP($A40,'THÀNH VIÊN'!$A$3:$J$200,9,FALSE),""))</f>
        <v/>
      </c>
      <c r="E40" s="7">
        <f>IF($A40="","",IFERROR(VLOOKUP($A40,'THÀNH VIÊN'!$A$3:$J$200,8,FALSE),""))</f>
        <v/>
      </c>
      <c r="F40" s="7">
        <f>IF($A40="","",IFERROR(VLOOKUP($A40,'THÀNH VIÊN'!$A$3:$J$200,7,FALSE),""))</f>
        <v/>
      </c>
      <c r="G40" s="6" t="inlineStr"/>
      <c r="H40" s="6" t="n"/>
      <c r="I40" s="6" t="n"/>
      <c r="J40" s="15" t="n"/>
      <c r="K40" s="16" t="n"/>
      <c r="L40" s="15" t="n"/>
      <c r="M40" s="16" t="n"/>
      <c r="N40" s="17">
        <f>IF($J40="","",$J40+IF($K40="",0,$K40))</f>
        <v/>
      </c>
      <c r="O40" s="17">
        <f>IF($L40="","",$L40+IF($M40="",0,$M40))</f>
        <v/>
      </c>
      <c r="P40" s="7">
        <f>IF(OR($N40="",$O40=""),"",MAX(0,INT($O40)-INT($N40)))</f>
        <v/>
      </c>
      <c r="Q40" s="7">
        <f>IF(OR($N40="",$O40=""),"",MAX(0,INT($O40)-INT($N40))+1)</f>
        <v/>
      </c>
      <c r="R40" s="6" t="inlineStr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7">
        <f>IF($I40="","",IF(COUNTIF(Provider!$K$5:$K$14,$I40)=0,"—",IF(COUNTIF(Provider!$K$5:$K$14,$I40)=1,INDEX(Provider!$A$5:$A$14,MATCH($I40,Provider!$K$5:$K$14,0)),COUNTIF(Provider!$K$5:$K$14,$I40)&amp;" lựa chọn")))</f>
        <v/>
      </c>
      <c r="AI40" s="6" t="n"/>
    </row>
  </sheetData>
  <mergeCells count="1">
    <mergeCell ref="A1:AI1"/>
  </mergeCells>
  <dataValidations count="19">
    <dataValidation sqref="A3:A40" showDropDown="0" showInputMessage="0" showErrorMessage="0" allowBlank="1" type="list">
      <formula1>'THÀNH VIÊN'!$A$3:$A$200</formula1>
    </dataValidation>
    <dataValidation sqref="G3:G40" showDropDown="0" showInputMessage="0" showErrorMessage="0" allowBlank="1" type="list">
      <formula1>'CẤU HÌNH'!$A$5:$A$8</formula1>
    </dataValidation>
    <dataValidation sqref="I3:I40" showDropDown="0" showInputMessage="0" showErrorMessage="0" allowBlank="1" type="list">
      <formula1>"TP. Hồ Chí Minh,Hà Nội,Đà Nẵng,Cần Thơ,Khác"</formula1>
    </dataValidation>
    <dataValidation sqref="R3:R40" showDropDown="0" showInputMessage="0" showErrorMessage="0" allowBlank="1" type="list">
      <formula1>'CẤU HÌNH'!$A$23:$A$28</formula1>
    </dataValidation>
    <dataValidation sqref="H3:H40" showDropDown="0" showInputMessage="0" showErrorMessage="0" allowBlank="1" type="list">
      <formula1>"TRUE,FALSE"</formula1>
    </dataValidation>
    <dataValidation sqref="S3:S40" showDropDown="0" showInputMessage="0" showErrorMessage="0" allowBlank="1" type="list">
      <formula1>"TRUE,FALSE"</formula1>
    </dataValidation>
    <dataValidation sqref="T3:T40" showDropDown="0" showInputMessage="0" showErrorMessage="0" allowBlank="1" type="list">
      <formula1>"TRUE,FALSE"</formula1>
    </dataValidation>
    <dataValidation sqref="U3:U40" showDropDown="0" showInputMessage="0" showErrorMessage="0" allowBlank="1" type="list">
      <formula1>"TRUE,FALSE"</formula1>
    </dataValidation>
    <dataValidation sqref="V3:V40" showDropDown="0" showInputMessage="0" showErrorMessage="0" allowBlank="1" type="list">
      <formula1>"TRUE,FALSE"</formula1>
    </dataValidation>
    <dataValidation sqref="W3:W40" showDropDown="0" showInputMessage="0" showErrorMessage="0" allowBlank="1" type="list">
      <formula1>"TRUE,FALSE"</formula1>
    </dataValidation>
    <dataValidation sqref="X3:X40" showDropDown="0" showInputMessage="0" showErrorMessage="0" allowBlank="1" type="list">
      <formula1>"TRUE,FALSE"</formula1>
    </dataValidation>
    <dataValidation sqref="Y3:Y40" showDropDown="0" showInputMessage="0" showErrorMessage="0" allowBlank="1" type="list">
      <formula1>"TRUE,FALSE"</formula1>
    </dataValidation>
    <dataValidation sqref="Z3:Z40" showDropDown="0" showInputMessage="0" showErrorMessage="0" allowBlank="1" type="list">
      <formula1>"TRUE,FALSE"</formula1>
    </dataValidation>
    <dataValidation sqref="AA3:AA40" showDropDown="0" showInputMessage="0" showErrorMessage="0" allowBlank="1" type="list">
      <formula1>"TRUE,FALSE"</formula1>
    </dataValidation>
    <dataValidation sqref="AB3:AB40" showDropDown="0" showInputMessage="0" showErrorMessage="0" allowBlank="1" type="list">
      <formula1>'CẤU HÌNH'!$A$78:$A$83</formula1>
    </dataValidation>
    <dataValidation sqref="AC3:AC40" showDropDown="0" showInputMessage="0" showErrorMessage="0" allowBlank="1" type="list">
      <formula1>'CẤU HÌNH'!$E$5:$E$7</formula1>
    </dataValidation>
    <dataValidation sqref="AE3:AE40" showDropDown="0" showInputMessage="0" showErrorMessage="0" allowBlank="1" type="list">
      <formula1>Provider!$A$5:$A$14</formula1>
    </dataValidation>
    <dataValidation sqref="AF3:AF40" showDropDown="0" showInputMessage="0" showErrorMessage="0" allowBlank="1" type="list">
      <formula1>Provider!$A$18:$A$27</formula1>
    </dataValidation>
    <dataValidation sqref="AG3:AG40" showDropDown="0" showInputMessage="0" showErrorMessage="0" allowBlank="1" type="list">
      <formula1>Provider!$A$31:$A$40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6" customWidth="1" min="3" max="3"/>
    <col width="12" customWidth="1" min="4" max="4"/>
    <col width="24" customWidth="1" min="5" max="5"/>
    <col width="12" customWidth="1" min="6" max="6"/>
    <col width="18" customWidth="1" min="7" max="7"/>
    <col width="14" customWidth="1" min="8" max="8"/>
    <col width="12" customWidth="1" min="9" max="9"/>
    <col width="9" customWidth="1" min="10" max="10"/>
    <col width="13" customWidth="1" min="11" max="11"/>
    <col width="26" customWidth="1" min="12" max="12"/>
    <col width="30" customWidth="1" min="13" max="13"/>
    <col width="16" customWidth="1" min="14" max="14"/>
    <col width="24" customWidth="1" min="15" max="15"/>
    <col width="12" customWidth="1" min="16" max="16"/>
    <col width="22" customWidth="1" min="17" max="17"/>
    <col width="12" customWidth="1" min="18" max="18"/>
    <col width="12" customWidth="1" min="19" max="19"/>
    <col width="30" customWidth="1" min="20" max="20"/>
    <col width="16" customWidth="1" min="21" max="21"/>
    <col width="24" customWidth="1" min="22" max="22"/>
  </cols>
  <sheetData>
    <row r="1" ht="24" customHeight="1">
      <c r="A1" s="1" t="inlineStr">
        <is>
          <t>HỒ SƠ VKF — chỉ hiển thị thành viên có 'Thi Dan?' ở tab ĐĂNG KÝ</t>
        </is>
      </c>
    </row>
    <row r="2" ht="44" customHeight="1">
      <c r="A2" s="9" t="inlineStr">
        <is>
          <t>Mã thành viên</t>
        </is>
      </c>
      <c r="B2" s="9" t="inlineStr">
        <is>
          <t>Họ tên</t>
        </is>
      </c>
      <c r="C2" s="9" t="inlineStr">
        <is>
          <t>Họ tên Latin (IN HOA)</t>
        </is>
      </c>
      <c r="D2" s="9" t="inlineStr">
        <is>
          <t>Dùng tên Latin trên chứng nhận?</t>
        </is>
      </c>
      <c r="E2" s="9" t="inlineStr">
        <is>
          <t>Họ tên chữ Hán (Kanji)</t>
        </is>
      </c>
      <c r="F2" s="9" t="inlineStr">
        <is>
          <t>Dùng Kanji trên chứng nhận?</t>
        </is>
      </c>
      <c r="G2" s="9" t="inlineStr">
        <is>
          <t>CCCD / Hộ chiếu</t>
        </is>
      </c>
      <c r="H2" s="9" t="inlineStr">
        <is>
          <t>Quốc tịch</t>
        </is>
      </c>
      <c r="I2" s="9" t="inlineStr">
        <is>
          <t>Ngày sinh</t>
        </is>
      </c>
      <c r="J2" s="9" t="inlineStr">
        <is>
          <t>Giới tính</t>
        </is>
      </c>
      <c r="K2" s="9" t="inlineStr">
        <is>
          <t>SĐT</t>
        </is>
      </c>
      <c r="L2" s="9" t="inlineStr">
        <is>
          <t>Email</t>
        </is>
      </c>
      <c r="M2" s="9" t="inlineStr">
        <is>
          <t>Địa chỉ</t>
        </is>
      </c>
      <c r="N2" s="9" t="inlineStr">
        <is>
          <t>Nghề nghiệp</t>
        </is>
      </c>
      <c r="O2" s="9" t="inlineStr">
        <is>
          <t>Tên CLB</t>
        </is>
      </c>
      <c r="P2" s="9" t="inlineStr">
        <is>
          <t>Trình độ hiện tại</t>
        </is>
      </c>
      <c r="Q2" s="9" t="inlineStr">
        <is>
          <t>Nơi cấp bằng hiện tại</t>
        </is>
      </c>
      <c r="R2" s="9" t="inlineStr">
        <is>
          <t>Ngày cấp</t>
        </is>
      </c>
      <c r="S2" s="9" t="inlineStr">
        <is>
          <t>Kyu/Dan đăng ký thi</t>
        </is>
      </c>
      <c r="T2" s="9" t="inlineStr">
        <is>
          <t>Địa chỉ nhận bằng</t>
        </is>
      </c>
      <c r="U2" s="9" t="inlineStr">
        <is>
          <t>Xác nhận của CLB</t>
        </is>
      </c>
      <c r="V2" s="9" t="inlineStr">
        <is>
          <t>Ghi chú</t>
        </is>
      </c>
    </row>
    <row r="3">
      <c r="A3" s="7">
        <f>IF('ĐĂNG KÝ'!$R3="","",'ĐĂNG KÝ'!$A3)</f>
        <v/>
      </c>
      <c r="B3" s="7">
        <f>IF($A3="","",'ĐĂNG KÝ'!$B3)</f>
        <v/>
      </c>
      <c r="C3" s="6" t="n"/>
      <c r="D3" s="6" t="n"/>
      <c r="E3" s="6" t="n"/>
      <c r="F3" s="6" t="n"/>
      <c r="G3" s="6" t="n"/>
      <c r="H3" s="6" t="n"/>
      <c r="I3" s="18">
        <f>IF($A3="","",IFERROR(VLOOKUP($A3,'THÀNH VIÊN'!$A$3:$J$200,5,FALSE),""))</f>
        <v/>
      </c>
      <c r="J3" s="7">
        <f>IF($A3="","",IFERROR(VLOOKUP($A3,'THÀNH VIÊN'!$A$3:$J$200,4,FALSE),""))</f>
        <v/>
      </c>
      <c r="K3" s="7">
        <f>IF($A3="","",'ĐĂNG KÝ'!$E3)</f>
        <v/>
      </c>
      <c r="L3" s="7">
        <f>IF($A3="","",'ĐĂNG KÝ'!$F3)</f>
        <v/>
      </c>
      <c r="M3" s="6" t="n"/>
      <c r="N3" s="6" t="n"/>
      <c r="O3" s="6" t="n"/>
      <c r="P3" s="7">
        <f>IF($A3="","",IFERROR(VLOOKUP($A3,'THÀNH VIÊN'!$A$3:$J$200,6,FALSE),""))</f>
        <v/>
      </c>
      <c r="Q3" s="6" t="n"/>
      <c r="R3" s="15" t="n"/>
      <c r="S3" s="7">
        <f>IF($A3="","",'ĐĂNG KÝ'!$R3)</f>
        <v/>
      </c>
      <c r="T3" s="6" t="n"/>
      <c r="U3" s="6" t="n"/>
      <c r="V3" s="6" t="n"/>
    </row>
    <row r="4">
      <c r="A4" s="7">
        <f>IF('ĐĂNG KÝ'!$R4="","",'ĐĂNG KÝ'!$A4)</f>
        <v/>
      </c>
      <c r="B4" s="7">
        <f>IF($A4="","",'ĐĂNG KÝ'!$B4)</f>
        <v/>
      </c>
      <c r="C4" s="6" t="n"/>
      <c r="D4" s="6" t="n"/>
      <c r="E4" s="6" t="n"/>
      <c r="F4" s="6" t="n"/>
      <c r="G4" s="6" t="n"/>
      <c r="H4" s="6" t="n"/>
      <c r="I4" s="18">
        <f>IF($A4="","",IFERROR(VLOOKUP($A4,'THÀNH VIÊN'!$A$3:$J$200,5,FALSE),""))</f>
        <v/>
      </c>
      <c r="J4" s="7">
        <f>IF($A4="","",IFERROR(VLOOKUP($A4,'THÀNH VIÊN'!$A$3:$J$200,4,FALSE),""))</f>
        <v/>
      </c>
      <c r="K4" s="7">
        <f>IF($A4="","",'ĐĂNG KÝ'!$E4)</f>
        <v/>
      </c>
      <c r="L4" s="7">
        <f>IF($A4="","",'ĐĂNG KÝ'!$F4)</f>
        <v/>
      </c>
      <c r="M4" s="6" t="n"/>
      <c r="N4" s="6" t="n"/>
      <c r="O4" s="6" t="n"/>
      <c r="P4" s="7">
        <f>IF($A4="","",IFERROR(VLOOKUP($A4,'THÀNH VIÊN'!$A$3:$J$200,6,FALSE),""))</f>
        <v/>
      </c>
      <c r="Q4" s="6" t="n"/>
      <c r="R4" s="15" t="n"/>
      <c r="S4" s="7">
        <f>IF($A4="","",'ĐĂNG KÝ'!$R4)</f>
        <v/>
      </c>
      <c r="T4" s="6" t="n"/>
      <c r="U4" s="6" t="n"/>
      <c r="V4" s="6" t="n"/>
    </row>
    <row r="5">
      <c r="A5" s="7">
        <f>IF('ĐĂNG KÝ'!$R5="","",'ĐĂNG KÝ'!$A5)</f>
        <v/>
      </c>
      <c r="B5" s="7">
        <f>IF($A5="","",'ĐĂNG KÝ'!$B5)</f>
        <v/>
      </c>
      <c r="C5" s="6" t="n"/>
      <c r="D5" s="6" t="n"/>
      <c r="E5" s="6" t="n"/>
      <c r="F5" s="6" t="n"/>
      <c r="G5" s="6" t="n"/>
      <c r="H5" s="6" t="n"/>
      <c r="I5" s="18">
        <f>IF($A5="","",IFERROR(VLOOKUP($A5,'THÀNH VIÊN'!$A$3:$J$200,5,FALSE),""))</f>
        <v/>
      </c>
      <c r="J5" s="7">
        <f>IF($A5="","",IFERROR(VLOOKUP($A5,'THÀNH VIÊN'!$A$3:$J$200,4,FALSE),""))</f>
        <v/>
      </c>
      <c r="K5" s="7">
        <f>IF($A5="","",'ĐĂNG KÝ'!$E5)</f>
        <v/>
      </c>
      <c r="L5" s="7">
        <f>IF($A5="","",'ĐĂNG KÝ'!$F5)</f>
        <v/>
      </c>
      <c r="M5" s="6" t="n"/>
      <c r="N5" s="6" t="n"/>
      <c r="O5" s="6" t="n"/>
      <c r="P5" s="7">
        <f>IF($A5="","",IFERROR(VLOOKUP($A5,'THÀNH VIÊN'!$A$3:$J$200,6,FALSE),""))</f>
        <v/>
      </c>
      <c r="Q5" s="6" t="n"/>
      <c r="R5" s="15" t="n"/>
      <c r="S5" s="7">
        <f>IF($A5="","",'ĐĂNG KÝ'!$R5)</f>
        <v/>
      </c>
      <c r="T5" s="6" t="n"/>
      <c r="U5" s="6" t="n"/>
      <c r="V5" s="6" t="n"/>
    </row>
    <row r="6">
      <c r="A6" s="7">
        <f>IF('ĐĂNG KÝ'!$R6="","",'ĐĂNG KÝ'!$A6)</f>
        <v/>
      </c>
      <c r="B6" s="7">
        <f>IF($A6="","",'ĐĂNG KÝ'!$B6)</f>
        <v/>
      </c>
      <c r="C6" s="6" t="n"/>
      <c r="D6" s="6" t="n"/>
      <c r="E6" s="6" t="n"/>
      <c r="F6" s="6" t="n"/>
      <c r="G6" s="6" t="n"/>
      <c r="H6" s="6" t="n"/>
      <c r="I6" s="18">
        <f>IF($A6="","",IFERROR(VLOOKUP($A6,'THÀNH VIÊN'!$A$3:$J$200,5,FALSE),""))</f>
        <v/>
      </c>
      <c r="J6" s="7">
        <f>IF($A6="","",IFERROR(VLOOKUP($A6,'THÀNH VIÊN'!$A$3:$J$200,4,FALSE),""))</f>
        <v/>
      </c>
      <c r="K6" s="7">
        <f>IF($A6="","",'ĐĂNG KÝ'!$E6)</f>
        <v/>
      </c>
      <c r="L6" s="7">
        <f>IF($A6="","",'ĐĂNG KÝ'!$F6)</f>
        <v/>
      </c>
      <c r="M6" s="6" t="n"/>
      <c r="N6" s="6" t="n"/>
      <c r="O6" s="6" t="n"/>
      <c r="P6" s="7">
        <f>IF($A6="","",IFERROR(VLOOKUP($A6,'THÀNH VIÊN'!$A$3:$J$200,6,FALSE),""))</f>
        <v/>
      </c>
      <c r="Q6" s="6" t="n"/>
      <c r="R6" s="15" t="n"/>
      <c r="S6" s="7">
        <f>IF($A6="","",'ĐĂNG KÝ'!$R6)</f>
        <v/>
      </c>
      <c r="T6" s="6" t="n"/>
      <c r="U6" s="6" t="n"/>
      <c r="V6" s="6" t="n"/>
    </row>
    <row r="7">
      <c r="A7" s="7">
        <f>IF('ĐĂNG KÝ'!$R7="","",'ĐĂNG KÝ'!$A7)</f>
        <v/>
      </c>
      <c r="B7" s="7">
        <f>IF($A7="","",'ĐĂNG KÝ'!$B7)</f>
        <v/>
      </c>
      <c r="C7" s="6" t="n"/>
      <c r="D7" s="6" t="n"/>
      <c r="E7" s="6" t="n"/>
      <c r="F7" s="6" t="n"/>
      <c r="G7" s="6" t="n"/>
      <c r="H7" s="6" t="n"/>
      <c r="I7" s="18">
        <f>IF($A7="","",IFERROR(VLOOKUP($A7,'THÀNH VIÊN'!$A$3:$J$200,5,FALSE),""))</f>
        <v/>
      </c>
      <c r="J7" s="7">
        <f>IF($A7="","",IFERROR(VLOOKUP($A7,'THÀNH VIÊN'!$A$3:$J$200,4,FALSE),""))</f>
        <v/>
      </c>
      <c r="K7" s="7">
        <f>IF($A7="","",'ĐĂNG KÝ'!$E7)</f>
        <v/>
      </c>
      <c r="L7" s="7">
        <f>IF($A7="","",'ĐĂNG KÝ'!$F7)</f>
        <v/>
      </c>
      <c r="M7" s="6" t="n"/>
      <c r="N7" s="6" t="n"/>
      <c r="O7" s="6" t="n"/>
      <c r="P7" s="7">
        <f>IF($A7="","",IFERROR(VLOOKUP($A7,'THÀNH VIÊN'!$A$3:$J$200,6,FALSE),""))</f>
        <v/>
      </c>
      <c r="Q7" s="6" t="n"/>
      <c r="R7" s="15" t="n"/>
      <c r="S7" s="7">
        <f>IF($A7="","",'ĐĂNG KÝ'!$R7)</f>
        <v/>
      </c>
      <c r="T7" s="6" t="n"/>
      <c r="U7" s="6" t="n"/>
      <c r="V7" s="6" t="n"/>
    </row>
    <row r="8">
      <c r="A8" s="7">
        <f>IF('ĐĂNG KÝ'!$R8="","",'ĐĂNG KÝ'!$A8)</f>
        <v/>
      </c>
      <c r="B8" s="7">
        <f>IF($A8="","",'ĐĂNG KÝ'!$B8)</f>
        <v/>
      </c>
      <c r="C8" s="6" t="n"/>
      <c r="D8" s="6" t="n"/>
      <c r="E8" s="6" t="n"/>
      <c r="F8" s="6" t="n"/>
      <c r="G8" s="6" t="n"/>
      <c r="H8" s="6" t="n"/>
      <c r="I8" s="18">
        <f>IF($A8="","",IFERROR(VLOOKUP($A8,'THÀNH VIÊN'!$A$3:$J$200,5,FALSE),""))</f>
        <v/>
      </c>
      <c r="J8" s="7">
        <f>IF($A8="","",IFERROR(VLOOKUP($A8,'THÀNH VIÊN'!$A$3:$J$200,4,FALSE),""))</f>
        <v/>
      </c>
      <c r="K8" s="7">
        <f>IF($A8="","",'ĐĂNG KÝ'!$E8)</f>
        <v/>
      </c>
      <c r="L8" s="7">
        <f>IF($A8="","",'ĐĂNG KÝ'!$F8)</f>
        <v/>
      </c>
      <c r="M8" s="6" t="n"/>
      <c r="N8" s="6" t="n"/>
      <c r="O8" s="6" t="n"/>
      <c r="P8" s="7">
        <f>IF($A8="","",IFERROR(VLOOKUP($A8,'THÀNH VIÊN'!$A$3:$J$200,6,FALSE),""))</f>
        <v/>
      </c>
      <c r="Q8" s="6" t="n"/>
      <c r="R8" s="15" t="n"/>
      <c r="S8" s="7">
        <f>IF($A8="","",'ĐĂNG KÝ'!$R8)</f>
        <v/>
      </c>
      <c r="T8" s="6" t="n"/>
      <c r="U8" s="6" t="n"/>
      <c r="V8" s="6" t="n"/>
    </row>
    <row r="9">
      <c r="A9" s="7">
        <f>IF('ĐĂNG KÝ'!$R9="","",'ĐĂNG KÝ'!$A9)</f>
        <v/>
      </c>
      <c r="B9" s="7">
        <f>IF($A9="","",'ĐĂNG KÝ'!$B9)</f>
        <v/>
      </c>
      <c r="C9" s="6" t="n"/>
      <c r="D9" s="6" t="n"/>
      <c r="E9" s="6" t="n"/>
      <c r="F9" s="6" t="n"/>
      <c r="G9" s="6" t="n"/>
      <c r="H9" s="6" t="n"/>
      <c r="I9" s="18">
        <f>IF($A9="","",IFERROR(VLOOKUP($A9,'THÀNH VIÊN'!$A$3:$J$200,5,FALSE),""))</f>
        <v/>
      </c>
      <c r="J9" s="7">
        <f>IF($A9="","",IFERROR(VLOOKUP($A9,'THÀNH VIÊN'!$A$3:$J$200,4,FALSE),""))</f>
        <v/>
      </c>
      <c r="K9" s="7">
        <f>IF($A9="","",'ĐĂNG KÝ'!$E9)</f>
        <v/>
      </c>
      <c r="L9" s="7">
        <f>IF($A9="","",'ĐĂNG KÝ'!$F9)</f>
        <v/>
      </c>
      <c r="M9" s="6" t="n"/>
      <c r="N9" s="6" t="n"/>
      <c r="O9" s="6" t="n"/>
      <c r="P9" s="7">
        <f>IF($A9="","",IFERROR(VLOOKUP($A9,'THÀNH VIÊN'!$A$3:$J$200,6,FALSE),""))</f>
        <v/>
      </c>
      <c r="Q9" s="6" t="n"/>
      <c r="R9" s="15" t="n"/>
      <c r="S9" s="7">
        <f>IF($A9="","",'ĐĂNG KÝ'!$R9)</f>
        <v/>
      </c>
      <c r="T9" s="6" t="n"/>
      <c r="U9" s="6" t="n"/>
      <c r="V9" s="6" t="n"/>
    </row>
    <row r="10">
      <c r="A10" s="7">
        <f>IF('ĐĂNG KÝ'!$R10="","",'ĐĂNG KÝ'!$A10)</f>
        <v/>
      </c>
      <c r="B10" s="7">
        <f>IF($A10="","",'ĐĂNG KÝ'!$B10)</f>
        <v/>
      </c>
      <c r="C10" s="6" t="n"/>
      <c r="D10" s="6" t="n"/>
      <c r="E10" s="6" t="n"/>
      <c r="F10" s="6" t="n"/>
      <c r="G10" s="6" t="n"/>
      <c r="H10" s="6" t="n"/>
      <c r="I10" s="18">
        <f>IF($A10="","",IFERROR(VLOOKUP($A10,'THÀNH VIÊN'!$A$3:$J$200,5,FALSE),""))</f>
        <v/>
      </c>
      <c r="J10" s="7">
        <f>IF($A10="","",IFERROR(VLOOKUP($A10,'THÀNH VIÊN'!$A$3:$J$200,4,FALSE),""))</f>
        <v/>
      </c>
      <c r="K10" s="7">
        <f>IF($A10="","",'ĐĂNG KÝ'!$E10)</f>
        <v/>
      </c>
      <c r="L10" s="7">
        <f>IF($A10="","",'ĐĂNG KÝ'!$F10)</f>
        <v/>
      </c>
      <c r="M10" s="6" t="n"/>
      <c r="N10" s="6" t="n"/>
      <c r="O10" s="6" t="n"/>
      <c r="P10" s="7">
        <f>IF($A10="","",IFERROR(VLOOKUP($A10,'THÀNH VIÊN'!$A$3:$J$200,6,FALSE),""))</f>
        <v/>
      </c>
      <c r="Q10" s="6" t="n"/>
      <c r="R10" s="15" t="n"/>
      <c r="S10" s="7">
        <f>IF($A10="","",'ĐĂNG KÝ'!$R10)</f>
        <v/>
      </c>
      <c r="T10" s="6" t="n"/>
      <c r="U10" s="6" t="n"/>
      <c r="V10" s="6" t="n"/>
    </row>
    <row r="11">
      <c r="A11" s="7">
        <f>IF('ĐĂNG KÝ'!$R11="","",'ĐĂNG KÝ'!$A11)</f>
        <v/>
      </c>
      <c r="B11" s="7">
        <f>IF($A11="","",'ĐĂNG KÝ'!$B11)</f>
        <v/>
      </c>
      <c r="C11" s="6" t="n"/>
      <c r="D11" s="6" t="n"/>
      <c r="E11" s="6" t="n"/>
      <c r="F11" s="6" t="n"/>
      <c r="G11" s="6" t="n"/>
      <c r="H11" s="6" t="n"/>
      <c r="I11" s="18">
        <f>IF($A11="","",IFERROR(VLOOKUP($A11,'THÀNH VIÊN'!$A$3:$J$200,5,FALSE),""))</f>
        <v/>
      </c>
      <c r="J11" s="7">
        <f>IF($A11="","",IFERROR(VLOOKUP($A11,'THÀNH VIÊN'!$A$3:$J$200,4,FALSE),""))</f>
        <v/>
      </c>
      <c r="K11" s="7">
        <f>IF($A11="","",'ĐĂNG KÝ'!$E11)</f>
        <v/>
      </c>
      <c r="L11" s="7">
        <f>IF($A11="","",'ĐĂNG KÝ'!$F11)</f>
        <v/>
      </c>
      <c r="M11" s="6" t="n"/>
      <c r="N11" s="6" t="n"/>
      <c r="O11" s="6" t="n"/>
      <c r="P11" s="7">
        <f>IF($A11="","",IFERROR(VLOOKUP($A11,'THÀNH VIÊN'!$A$3:$J$200,6,FALSE),""))</f>
        <v/>
      </c>
      <c r="Q11" s="6" t="n"/>
      <c r="R11" s="15" t="n"/>
      <c r="S11" s="7">
        <f>IF($A11="","",'ĐĂNG KÝ'!$R11)</f>
        <v/>
      </c>
      <c r="T11" s="6" t="n"/>
      <c r="U11" s="6" t="n"/>
      <c r="V11" s="6" t="n"/>
    </row>
    <row r="12">
      <c r="A12" s="7">
        <f>IF('ĐĂNG KÝ'!$R12="","",'ĐĂNG KÝ'!$A12)</f>
        <v/>
      </c>
      <c r="B12" s="7">
        <f>IF($A12="","",'ĐĂNG KÝ'!$B12)</f>
        <v/>
      </c>
      <c r="C12" s="6" t="n"/>
      <c r="D12" s="6" t="n"/>
      <c r="E12" s="6" t="n"/>
      <c r="F12" s="6" t="n"/>
      <c r="G12" s="6" t="n"/>
      <c r="H12" s="6" t="n"/>
      <c r="I12" s="18">
        <f>IF($A12="","",IFERROR(VLOOKUP($A12,'THÀNH VIÊN'!$A$3:$J$200,5,FALSE),""))</f>
        <v/>
      </c>
      <c r="J12" s="7">
        <f>IF($A12="","",IFERROR(VLOOKUP($A12,'THÀNH VIÊN'!$A$3:$J$200,4,FALSE),""))</f>
        <v/>
      </c>
      <c r="K12" s="7">
        <f>IF($A12="","",'ĐĂNG KÝ'!$E12)</f>
        <v/>
      </c>
      <c r="L12" s="7">
        <f>IF($A12="","",'ĐĂNG KÝ'!$F12)</f>
        <v/>
      </c>
      <c r="M12" s="6" t="n"/>
      <c r="N12" s="6" t="n"/>
      <c r="O12" s="6" t="n"/>
      <c r="P12" s="7">
        <f>IF($A12="","",IFERROR(VLOOKUP($A12,'THÀNH VIÊN'!$A$3:$J$200,6,FALSE),""))</f>
        <v/>
      </c>
      <c r="Q12" s="6" t="n"/>
      <c r="R12" s="15" t="n"/>
      <c r="S12" s="7">
        <f>IF($A12="","",'ĐĂNG KÝ'!$R12)</f>
        <v/>
      </c>
      <c r="T12" s="6" t="n"/>
      <c r="U12" s="6" t="n"/>
      <c r="V12" s="6" t="n"/>
    </row>
    <row r="13">
      <c r="A13" s="7">
        <f>IF('ĐĂNG KÝ'!$R13="","",'ĐĂNG KÝ'!$A13)</f>
        <v/>
      </c>
      <c r="B13" s="7">
        <f>IF($A13="","",'ĐĂNG KÝ'!$B13)</f>
        <v/>
      </c>
      <c r="C13" s="6" t="n"/>
      <c r="D13" s="6" t="n"/>
      <c r="E13" s="6" t="n"/>
      <c r="F13" s="6" t="n"/>
      <c r="G13" s="6" t="n"/>
      <c r="H13" s="6" t="n"/>
      <c r="I13" s="18">
        <f>IF($A13="","",IFERROR(VLOOKUP($A13,'THÀNH VIÊN'!$A$3:$J$200,5,FALSE),""))</f>
        <v/>
      </c>
      <c r="J13" s="7">
        <f>IF($A13="","",IFERROR(VLOOKUP($A13,'THÀNH VIÊN'!$A$3:$J$200,4,FALSE),""))</f>
        <v/>
      </c>
      <c r="K13" s="7">
        <f>IF($A13="","",'ĐĂNG KÝ'!$E13)</f>
        <v/>
      </c>
      <c r="L13" s="7">
        <f>IF($A13="","",'ĐĂNG KÝ'!$F13)</f>
        <v/>
      </c>
      <c r="M13" s="6" t="n"/>
      <c r="N13" s="6" t="n"/>
      <c r="O13" s="6" t="n"/>
      <c r="P13" s="7">
        <f>IF($A13="","",IFERROR(VLOOKUP($A13,'THÀNH VIÊN'!$A$3:$J$200,6,FALSE),""))</f>
        <v/>
      </c>
      <c r="Q13" s="6" t="n"/>
      <c r="R13" s="15" t="n"/>
      <c r="S13" s="7">
        <f>IF($A13="","",'ĐĂNG KÝ'!$R13)</f>
        <v/>
      </c>
      <c r="T13" s="6" t="n"/>
      <c r="U13" s="6" t="n"/>
      <c r="V13" s="6" t="n"/>
    </row>
    <row r="14">
      <c r="A14" s="7">
        <f>IF('ĐĂNG KÝ'!$R14="","",'ĐĂNG KÝ'!$A14)</f>
        <v/>
      </c>
      <c r="B14" s="7">
        <f>IF($A14="","",'ĐĂNG KÝ'!$B14)</f>
        <v/>
      </c>
      <c r="C14" s="6" t="n"/>
      <c r="D14" s="6" t="n"/>
      <c r="E14" s="6" t="n"/>
      <c r="F14" s="6" t="n"/>
      <c r="G14" s="6" t="n"/>
      <c r="H14" s="6" t="n"/>
      <c r="I14" s="18">
        <f>IF($A14="","",IFERROR(VLOOKUP($A14,'THÀNH VIÊN'!$A$3:$J$200,5,FALSE),""))</f>
        <v/>
      </c>
      <c r="J14" s="7">
        <f>IF($A14="","",IFERROR(VLOOKUP($A14,'THÀNH VIÊN'!$A$3:$J$200,4,FALSE),""))</f>
        <v/>
      </c>
      <c r="K14" s="7">
        <f>IF($A14="","",'ĐĂNG KÝ'!$E14)</f>
        <v/>
      </c>
      <c r="L14" s="7">
        <f>IF($A14="","",'ĐĂNG KÝ'!$F14)</f>
        <v/>
      </c>
      <c r="M14" s="6" t="n"/>
      <c r="N14" s="6" t="n"/>
      <c r="O14" s="6" t="n"/>
      <c r="P14" s="7">
        <f>IF($A14="","",IFERROR(VLOOKUP($A14,'THÀNH VIÊN'!$A$3:$J$200,6,FALSE),""))</f>
        <v/>
      </c>
      <c r="Q14" s="6" t="n"/>
      <c r="R14" s="15" t="n"/>
      <c r="S14" s="7">
        <f>IF($A14="","",'ĐĂNG KÝ'!$R14)</f>
        <v/>
      </c>
      <c r="T14" s="6" t="n"/>
      <c r="U14" s="6" t="n"/>
      <c r="V14" s="6" t="n"/>
    </row>
    <row r="15">
      <c r="A15" s="7">
        <f>IF('ĐĂNG KÝ'!$R15="","",'ĐĂNG KÝ'!$A15)</f>
        <v/>
      </c>
      <c r="B15" s="7">
        <f>IF($A15="","",'ĐĂNG KÝ'!$B15)</f>
        <v/>
      </c>
      <c r="C15" s="6" t="n"/>
      <c r="D15" s="6" t="n"/>
      <c r="E15" s="6" t="n"/>
      <c r="F15" s="6" t="n"/>
      <c r="G15" s="6" t="n"/>
      <c r="H15" s="6" t="n"/>
      <c r="I15" s="18">
        <f>IF($A15="","",IFERROR(VLOOKUP($A15,'THÀNH VIÊN'!$A$3:$J$200,5,FALSE),""))</f>
        <v/>
      </c>
      <c r="J15" s="7">
        <f>IF($A15="","",IFERROR(VLOOKUP($A15,'THÀNH VIÊN'!$A$3:$J$200,4,FALSE),""))</f>
        <v/>
      </c>
      <c r="K15" s="7">
        <f>IF($A15="","",'ĐĂNG KÝ'!$E15)</f>
        <v/>
      </c>
      <c r="L15" s="7">
        <f>IF($A15="","",'ĐĂNG KÝ'!$F15)</f>
        <v/>
      </c>
      <c r="M15" s="6" t="n"/>
      <c r="N15" s="6" t="n"/>
      <c r="O15" s="6" t="n"/>
      <c r="P15" s="7">
        <f>IF($A15="","",IFERROR(VLOOKUP($A15,'THÀNH VIÊN'!$A$3:$J$200,6,FALSE),""))</f>
        <v/>
      </c>
      <c r="Q15" s="6" t="n"/>
      <c r="R15" s="15" t="n"/>
      <c r="S15" s="7">
        <f>IF($A15="","",'ĐĂNG KÝ'!$R15)</f>
        <v/>
      </c>
      <c r="T15" s="6" t="n"/>
      <c r="U15" s="6" t="n"/>
      <c r="V15" s="6" t="n"/>
    </row>
    <row r="16">
      <c r="A16" s="7">
        <f>IF('ĐĂNG KÝ'!$R16="","",'ĐĂNG KÝ'!$A16)</f>
        <v/>
      </c>
      <c r="B16" s="7">
        <f>IF($A16="","",'ĐĂNG KÝ'!$B16)</f>
        <v/>
      </c>
      <c r="C16" s="6" t="n"/>
      <c r="D16" s="6" t="n"/>
      <c r="E16" s="6" t="n"/>
      <c r="F16" s="6" t="n"/>
      <c r="G16" s="6" t="n"/>
      <c r="H16" s="6" t="n"/>
      <c r="I16" s="18">
        <f>IF($A16="","",IFERROR(VLOOKUP($A16,'THÀNH VIÊN'!$A$3:$J$200,5,FALSE),""))</f>
        <v/>
      </c>
      <c r="J16" s="7">
        <f>IF($A16="","",IFERROR(VLOOKUP($A16,'THÀNH VIÊN'!$A$3:$J$200,4,FALSE),""))</f>
        <v/>
      </c>
      <c r="K16" s="7">
        <f>IF($A16="","",'ĐĂNG KÝ'!$E16)</f>
        <v/>
      </c>
      <c r="L16" s="7">
        <f>IF($A16="","",'ĐĂNG KÝ'!$F16)</f>
        <v/>
      </c>
      <c r="M16" s="6" t="n"/>
      <c r="N16" s="6" t="n"/>
      <c r="O16" s="6" t="n"/>
      <c r="P16" s="7">
        <f>IF($A16="","",IFERROR(VLOOKUP($A16,'THÀNH VIÊN'!$A$3:$J$200,6,FALSE),""))</f>
        <v/>
      </c>
      <c r="Q16" s="6" t="n"/>
      <c r="R16" s="15" t="n"/>
      <c r="S16" s="7">
        <f>IF($A16="","",'ĐĂNG KÝ'!$R16)</f>
        <v/>
      </c>
      <c r="T16" s="6" t="n"/>
      <c r="U16" s="6" t="n"/>
      <c r="V16" s="6" t="n"/>
    </row>
    <row r="17">
      <c r="A17" s="7">
        <f>IF('ĐĂNG KÝ'!$R17="","",'ĐĂNG KÝ'!$A17)</f>
        <v/>
      </c>
      <c r="B17" s="7">
        <f>IF($A17="","",'ĐĂNG KÝ'!$B17)</f>
        <v/>
      </c>
      <c r="C17" s="6" t="n"/>
      <c r="D17" s="6" t="n"/>
      <c r="E17" s="6" t="n"/>
      <c r="F17" s="6" t="n"/>
      <c r="G17" s="6" t="n"/>
      <c r="H17" s="6" t="n"/>
      <c r="I17" s="18">
        <f>IF($A17="","",IFERROR(VLOOKUP($A17,'THÀNH VIÊN'!$A$3:$J$200,5,FALSE),""))</f>
        <v/>
      </c>
      <c r="J17" s="7">
        <f>IF($A17="","",IFERROR(VLOOKUP($A17,'THÀNH VIÊN'!$A$3:$J$200,4,FALSE),""))</f>
        <v/>
      </c>
      <c r="K17" s="7">
        <f>IF($A17="","",'ĐĂNG KÝ'!$E17)</f>
        <v/>
      </c>
      <c r="L17" s="7">
        <f>IF($A17="","",'ĐĂNG KÝ'!$F17)</f>
        <v/>
      </c>
      <c r="M17" s="6" t="n"/>
      <c r="N17" s="6" t="n"/>
      <c r="O17" s="6" t="n"/>
      <c r="P17" s="7">
        <f>IF($A17="","",IFERROR(VLOOKUP($A17,'THÀNH VIÊN'!$A$3:$J$200,6,FALSE),""))</f>
        <v/>
      </c>
      <c r="Q17" s="6" t="n"/>
      <c r="R17" s="15" t="n"/>
      <c r="S17" s="7">
        <f>IF($A17="","",'ĐĂNG KÝ'!$R17)</f>
        <v/>
      </c>
      <c r="T17" s="6" t="n"/>
      <c r="U17" s="6" t="n"/>
      <c r="V17" s="6" t="n"/>
    </row>
    <row r="18">
      <c r="A18" s="7">
        <f>IF('ĐĂNG KÝ'!$R18="","",'ĐĂNG KÝ'!$A18)</f>
        <v/>
      </c>
      <c r="B18" s="7">
        <f>IF($A18="","",'ĐĂNG KÝ'!$B18)</f>
        <v/>
      </c>
      <c r="C18" s="6" t="n"/>
      <c r="D18" s="6" t="n"/>
      <c r="E18" s="6" t="n"/>
      <c r="F18" s="6" t="n"/>
      <c r="G18" s="6" t="n"/>
      <c r="H18" s="6" t="n"/>
      <c r="I18" s="18">
        <f>IF($A18="","",IFERROR(VLOOKUP($A18,'THÀNH VIÊN'!$A$3:$J$200,5,FALSE),""))</f>
        <v/>
      </c>
      <c r="J18" s="7">
        <f>IF($A18="","",IFERROR(VLOOKUP($A18,'THÀNH VIÊN'!$A$3:$J$200,4,FALSE),""))</f>
        <v/>
      </c>
      <c r="K18" s="7">
        <f>IF($A18="","",'ĐĂNG KÝ'!$E18)</f>
        <v/>
      </c>
      <c r="L18" s="7">
        <f>IF($A18="","",'ĐĂNG KÝ'!$F18)</f>
        <v/>
      </c>
      <c r="M18" s="6" t="n"/>
      <c r="N18" s="6" t="n"/>
      <c r="O18" s="6" t="n"/>
      <c r="P18" s="7">
        <f>IF($A18="","",IFERROR(VLOOKUP($A18,'THÀNH VIÊN'!$A$3:$J$200,6,FALSE),""))</f>
        <v/>
      </c>
      <c r="Q18" s="6" t="n"/>
      <c r="R18" s="15" t="n"/>
      <c r="S18" s="7">
        <f>IF($A18="","",'ĐĂNG KÝ'!$R18)</f>
        <v/>
      </c>
      <c r="T18" s="6" t="n"/>
      <c r="U18" s="6" t="n"/>
      <c r="V18" s="6" t="n"/>
    </row>
    <row r="19">
      <c r="A19" s="7">
        <f>IF('ĐĂNG KÝ'!$R19="","",'ĐĂNG KÝ'!$A19)</f>
        <v/>
      </c>
      <c r="B19" s="7">
        <f>IF($A19="","",'ĐĂNG KÝ'!$B19)</f>
        <v/>
      </c>
      <c r="C19" s="6" t="n"/>
      <c r="D19" s="6" t="n"/>
      <c r="E19" s="6" t="n"/>
      <c r="F19" s="6" t="n"/>
      <c r="G19" s="6" t="n"/>
      <c r="H19" s="6" t="n"/>
      <c r="I19" s="18">
        <f>IF($A19="","",IFERROR(VLOOKUP($A19,'THÀNH VIÊN'!$A$3:$J$200,5,FALSE),""))</f>
        <v/>
      </c>
      <c r="J19" s="7">
        <f>IF($A19="","",IFERROR(VLOOKUP($A19,'THÀNH VIÊN'!$A$3:$J$200,4,FALSE),""))</f>
        <v/>
      </c>
      <c r="K19" s="7">
        <f>IF($A19="","",'ĐĂNG KÝ'!$E19)</f>
        <v/>
      </c>
      <c r="L19" s="7">
        <f>IF($A19="","",'ĐĂNG KÝ'!$F19)</f>
        <v/>
      </c>
      <c r="M19" s="6" t="n"/>
      <c r="N19" s="6" t="n"/>
      <c r="O19" s="6" t="n"/>
      <c r="P19" s="7">
        <f>IF($A19="","",IFERROR(VLOOKUP($A19,'THÀNH VIÊN'!$A$3:$J$200,6,FALSE),""))</f>
        <v/>
      </c>
      <c r="Q19" s="6" t="n"/>
      <c r="R19" s="15" t="n"/>
      <c r="S19" s="7">
        <f>IF($A19="","",'ĐĂNG KÝ'!$R19)</f>
        <v/>
      </c>
      <c r="T19" s="6" t="n"/>
      <c r="U19" s="6" t="n"/>
      <c r="V19" s="6" t="n"/>
    </row>
    <row r="20">
      <c r="A20" s="7">
        <f>IF('ĐĂNG KÝ'!$R20="","",'ĐĂNG KÝ'!$A20)</f>
        <v/>
      </c>
      <c r="B20" s="7">
        <f>IF($A20="","",'ĐĂNG KÝ'!$B20)</f>
        <v/>
      </c>
      <c r="C20" s="6" t="n"/>
      <c r="D20" s="6" t="n"/>
      <c r="E20" s="6" t="n"/>
      <c r="F20" s="6" t="n"/>
      <c r="G20" s="6" t="n"/>
      <c r="H20" s="6" t="n"/>
      <c r="I20" s="18">
        <f>IF($A20="","",IFERROR(VLOOKUP($A20,'THÀNH VIÊN'!$A$3:$J$200,5,FALSE),""))</f>
        <v/>
      </c>
      <c r="J20" s="7">
        <f>IF($A20="","",IFERROR(VLOOKUP($A20,'THÀNH VIÊN'!$A$3:$J$200,4,FALSE),""))</f>
        <v/>
      </c>
      <c r="K20" s="7">
        <f>IF($A20="","",'ĐĂNG KÝ'!$E20)</f>
        <v/>
      </c>
      <c r="L20" s="7">
        <f>IF($A20="","",'ĐĂNG KÝ'!$F20)</f>
        <v/>
      </c>
      <c r="M20" s="6" t="n"/>
      <c r="N20" s="6" t="n"/>
      <c r="O20" s="6" t="n"/>
      <c r="P20" s="7">
        <f>IF($A20="","",IFERROR(VLOOKUP($A20,'THÀNH VIÊN'!$A$3:$J$200,6,FALSE),""))</f>
        <v/>
      </c>
      <c r="Q20" s="6" t="n"/>
      <c r="R20" s="15" t="n"/>
      <c r="S20" s="7">
        <f>IF($A20="","",'ĐĂNG KÝ'!$R20)</f>
        <v/>
      </c>
      <c r="T20" s="6" t="n"/>
      <c r="U20" s="6" t="n"/>
      <c r="V20" s="6" t="n"/>
    </row>
    <row r="21">
      <c r="A21" s="7">
        <f>IF('ĐĂNG KÝ'!$R21="","",'ĐĂNG KÝ'!$A21)</f>
        <v/>
      </c>
      <c r="B21" s="7">
        <f>IF($A21="","",'ĐĂNG KÝ'!$B21)</f>
        <v/>
      </c>
      <c r="C21" s="6" t="n"/>
      <c r="D21" s="6" t="n"/>
      <c r="E21" s="6" t="n"/>
      <c r="F21" s="6" t="n"/>
      <c r="G21" s="6" t="n"/>
      <c r="H21" s="6" t="n"/>
      <c r="I21" s="18">
        <f>IF($A21="","",IFERROR(VLOOKUP($A21,'THÀNH VIÊN'!$A$3:$J$200,5,FALSE),""))</f>
        <v/>
      </c>
      <c r="J21" s="7">
        <f>IF($A21="","",IFERROR(VLOOKUP($A21,'THÀNH VIÊN'!$A$3:$J$200,4,FALSE),""))</f>
        <v/>
      </c>
      <c r="K21" s="7">
        <f>IF($A21="","",'ĐĂNG KÝ'!$E21)</f>
        <v/>
      </c>
      <c r="L21" s="7">
        <f>IF($A21="","",'ĐĂNG KÝ'!$F21)</f>
        <v/>
      </c>
      <c r="M21" s="6" t="n"/>
      <c r="N21" s="6" t="n"/>
      <c r="O21" s="6" t="n"/>
      <c r="P21" s="7">
        <f>IF($A21="","",IFERROR(VLOOKUP($A21,'THÀNH VIÊN'!$A$3:$J$200,6,FALSE),""))</f>
        <v/>
      </c>
      <c r="Q21" s="6" t="n"/>
      <c r="R21" s="15" t="n"/>
      <c r="S21" s="7">
        <f>IF($A21="","",'ĐĂNG KÝ'!$R21)</f>
        <v/>
      </c>
      <c r="T21" s="6" t="n"/>
      <c r="U21" s="6" t="n"/>
      <c r="V21" s="6" t="n"/>
    </row>
    <row r="22">
      <c r="A22" s="7">
        <f>IF('ĐĂNG KÝ'!$R22="","",'ĐĂNG KÝ'!$A22)</f>
        <v/>
      </c>
      <c r="B22" s="7">
        <f>IF($A22="","",'ĐĂNG KÝ'!$B22)</f>
        <v/>
      </c>
      <c r="C22" s="6" t="n"/>
      <c r="D22" s="6" t="n"/>
      <c r="E22" s="6" t="n"/>
      <c r="F22" s="6" t="n"/>
      <c r="G22" s="6" t="n"/>
      <c r="H22" s="6" t="n"/>
      <c r="I22" s="18">
        <f>IF($A22="","",IFERROR(VLOOKUP($A22,'THÀNH VIÊN'!$A$3:$J$200,5,FALSE),""))</f>
        <v/>
      </c>
      <c r="J22" s="7">
        <f>IF($A22="","",IFERROR(VLOOKUP($A22,'THÀNH VIÊN'!$A$3:$J$200,4,FALSE),""))</f>
        <v/>
      </c>
      <c r="K22" s="7">
        <f>IF($A22="","",'ĐĂNG KÝ'!$E22)</f>
        <v/>
      </c>
      <c r="L22" s="7">
        <f>IF($A22="","",'ĐĂNG KÝ'!$F22)</f>
        <v/>
      </c>
      <c r="M22" s="6" t="n"/>
      <c r="N22" s="6" t="n"/>
      <c r="O22" s="6" t="n"/>
      <c r="P22" s="7">
        <f>IF($A22="","",IFERROR(VLOOKUP($A22,'THÀNH VIÊN'!$A$3:$J$200,6,FALSE),""))</f>
        <v/>
      </c>
      <c r="Q22" s="6" t="n"/>
      <c r="R22" s="15" t="n"/>
      <c r="S22" s="7">
        <f>IF($A22="","",'ĐĂNG KÝ'!$R22)</f>
        <v/>
      </c>
      <c r="T22" s="6" t="n"/>
      <c r="U22" s="6" t="n"/>
      <c r="V22" s="6" t="n"/>
    </row>
    <row r="23">
      <c r="A23" s="7">
        <f>IF('ĐĂNG KÝ'!$R23="","",'ĐĂNG KÝ'!$A23)</f>
        <v/>
      </c>
      <c r="B23" s="7">
        <f>IF($A23="","",'ĐĂNG KÝ'!$B23)</f>
        <v/>
      </c>
      <c r="C23" s="6" t="n"/>
      <c r="D23" s="6" t="n"/>
      <c r="E23" s="6" t="n"/>
      <c r="F23" s="6" t="n"/>
      <c r="G23" s="6" t="n"/>
      <c r="H23" s="6" t="n"/>
      <c r="I23" s="18">
        <f>IF($A23="","",IFERROR(VLOOKUP($A23,'THÀNH VIÊN'!$A$3:$J$200,5,FALSE),""))</f>
        <v/>
      </c>
      <c r="J23" s="7">
        <f>IF($A23="","",IFERROR(VLOOKUP($A23,'THÀNH VIÊN'!$A$3:$J$200,4,FALSE),""))</f>
        <v/>
      </c>
      <c r="K23" s="7">
        <f>IF($A23="","",'ĐĂNG KÝ'!$E23)</f>
        <v/>
      </c>
      <c r="L23" s="7">
        <f>IF($A23="","",'ĐĂNG KÝ'!$F23)</f>
        <v/>
      </c>
      <c r="M23" s="6" t="n"/>
      <c r="N23" s="6" t="n"/>
      <c r="O23" s="6" t="n"/>
      <c r="P23" s="7">
        <f>IF($A23="","",IFERROR(VLOOKUP($A23,'THÀNH VIÊN'!$A$3:$J$200,6,FALSE),""))</f>
        <v/>
      </c>
      <c r="Q23" s="6" t="n"/>
      <c r="R23" s="15" t="n"/>
      <c r="S23" s="7">
        <f>IF($A23="","",'ĐĂNG KÝ'!$R23)</f>
        <v/>
      </c>
      <c r="T23" s="6" t="n"/>
      <c r="U23" s="6" t="n"/>
      <c r="V23" s="6" t="n"/>
    </row>
    <row r="24">
      <c r="A24" s="7">
        <f>IF('ĐĂNG KÝ'!$R24="","",'ĐĂNG KÝ'!$A24)</f>
        <v/>
      </c>
      <c r="B24" s="7">
        <f>IF($A24="","",'ĐĂNG KÝ'!$B24)</f>
        <v/>
      </c>
      <c r="C24" s="6" t="n"/>
      <c r="D24" s="6" t="n"/>
      <c r="E24" s="6" t="n"/>
      <c r="F24" s="6" t="n"/>
      <c r="G24" s="6" t="n"/>
      <c r="H24" s="6" t="n"/>
      <c r="I24" s="18">
        <f>IF($A24="","",IFERROR(VLOOKUP($A24,'THÀNH VIÊN'!$A$3:$J$200,5,FALSE),""))</f>
        <v/>
      </c>
      <c r="J24" s="7">
        <f>IF($A24="","",IFERROR(VLOOKUP($A24,'THÀNH VIÊN'!$A$3:$J$200,4,FALSE),""))</f>
        <v/>
      </c>
      <c r="K24" s="7">
        <f>IF($A24="","",'ĐĂNG KÝ'!$E24)</f>
        <v/>
      </c>
      <c r="L24" s="7">
        <f>IF($A24="","",'ĐĂNG KÝ'!$F24)</f>
        <v/>
      </c>
      <c r="M24" s="6" t="n"/>
      <c r="N24" s="6" t="n"/>
      <c r="O24" s="6" t="n"/>
      <c r="P24" s="7">
        <f>IF($A24="","",IFERROR(VLOOKUP($A24,'THÀNH VIÊN'!$A$3:$J$200,6,FALSE),""))</f>
        <v/>
      </c>
      <c r="Q24" s="6" t="n"/>
      <c r="R24" s="15" t="n"/>
      <c r="S24" s="7">
        <f>IF($A24="","",'ĐĂNG KÝ'!$R24)</f>
        <v/>
      </c>
      <c r="T24" s="6" t="n"/>
      <c r="U24" s="6" t="n"/>
      <c r="V24" s="6" t="n"/>
    </row>
    <row r="25">
      <c r="A25" s="7">
        <f>IF('ĐĂNG KÝ'!$R25="","",'ĐĂNG KÝ'!$A25)</f>
        <v/>
      </c>
      <c r="B25" s="7">
        <f>IF($A25="","",'ĐĂNG KÝ'!$B25)</f>
        <v/>
      </c>
      <c r="C25" s="6" t="n"/>
      <c r="D25" s="6" t="n"/>
      <c r="E25" s="6" t="n"/>
      <c r="F25" s="6" t="n"/>
      <c r="G25" s="6" t="n"/>
      <c r="H25" s="6" t="n"/>
      <c r="I25" s="18">
        <f>IF($A25="","",IFERROR(VLOOKUP($A25,'THÀNH VIÊN'!$A$3:$J$200,5,FALSE),""))</f>
        <v/>
      </c>
      <c r="J25" s="7">
        <f>IF($A25="","",IFERROR(VLOOKUP($A25,'THÀNH VIÊN'!$A$3:$J$200,4,FALSE),""))</f>
        <v/>
      </c>
      <c r="K25" s="7">
        <f>IF($A25="","",'ĐĂNG KÝ'!$E25)</f>
        <v/>
      </c>
      <c r="L25" s="7">
        <f>IF($A25="","",'ĐĂNG KÝ'!$F25)</f>
        <v/>
      </c>
      <c r="M25" s="6" t="n"/>
      <c r="N25" s="6" t="n"/>
      <c r="O25" s="6" t="n"/>
      <c r="P25" s="7">
        <f>IF($A25="","",IFERROR(VLOOKUP($A25,'THÀNH VIÊN'!$A$3:$J$200,6,FALSE),""))</f>
        <v/>
      </c>
      <c r="Q25" s="6" t="n"/>
      <c r="R25" s="15" t="n"/>
      <c r="S25" s="7">
        <f>IF($A25="","",'ĐĂNG KÝ'!$R25)</f>
        <v/>
      </c>
      <c r="T25" s="6" t="n"/>
      <c r="U25" s="6" t="n"/>
      <c r="V25" s="6" t="n"/>
    </row>
    <row r="26">
      <c r="A26" s="7">
        <f>IF('ĐĂNG KÝ'!$R26="","",'ĐĂNG KÝ'!$A26)</f>
        <v/>
      </c>
      <c r="B26" s="7">
        <f>IF($A26="","",'ĐĂNG KÝ'!$B26)</f>
        <v/>
      </c>
      <c r="C26" s="6" t="n"/>
      <c r="D26" s="6" t="n"/>
      <c r="E26" s="6" t="n"/>
      <c r="F26" s="6" t="n"/>
      <c r="G26" s="6" t="n"/>
      <c r="H26" s="6" t="n"/>
      <c r="I26" s="18">
        <f>IF($A26="","",IFERROR(VLOOKUP($A26,'THÀNH VIÊN'!$A$3:$J$200,5,FALSE),""))</f>
        <v/>
      </c>
      <c r="J26" s="7">
        <f>IF($A26="","",IFERROR(VLOOKUP($A26,'THÀNH VIÊN'!$A$3:$J$200,4,FALSE),""))</f>
        <v/>
      </c>
      <c r="K26" s="7">
        <f>IF($A26="","",'ĐĂNG KÝ'!$E26)</f>
        <v/>
      </c>
      <c r="L26" s="7">
        <f>IF($A26="","",'ĐĂNG KÝ'!$F26)</f>
        <v/>
      </c>
      <c r="M26" s="6" t="n"/>
      <c r="N26" s="6" t="n"/>
      <c r="O26" s="6" t="n"/>
      <c r="P26" s="7">
        <f>IF($A26="","",IFERROR(VLOOKUP($A26,'THÀNH VIÊN'!$A$3:$J$200,6,FALSE),""))</f>
        <v/>
      </c>
      <c r="Q26" s="6" t="n"/>
      <c r="R26" s="15" t="n"/>
      <c r="S26" s="7">
        <f>IF($A26="","",'ĐĂNG KÝ'!$R26)</f>
        <v/>
      </c>
      <c r="T26" s="6" t="n"/>
      <c r="U26" s="6" t="n"/>
      <c r="V26" s="6" t="n"/>
    </row>
    <row r="27">
      <c r="A27" s="7">
        <f>IF('ĐĂNG KÝ'!$R27="","",'ĐĂNG KÝ'!$A27)</f>
        <v/>
      </c>
      <c r="B27" s="7">
        <f>IF($A27="","",'ĐĂNG KÝ'!$B27)</f>
        <v/>
      </c>
      <c r="C27" s="6" t="n"/>
      <c r="D27" s="6" t="n"/>
      <c r="E27" s="6" t="n"/>
      <c r="F27" s="6" t="n"/>
      <c r="G27" s="6" t="n"/>
      <c r="H27" s="6" t="n"/>
      <c r="I27" s="18">
        <f>IF($A27="","",IFERROR(VLOOKUP($A27,'THÀNH VIÊN'!$A$3:$J$200,5,FALSE),""))</f>
        <v/>
      </c>
      <c r="J27" s="7">
        <f>IF($A27="","",IFERROR(VLOOKUP($A27,'THÀNH VIÊN'!$A$3:$J$200,4,FALSE),""))</f>
        <v/>
      </c>
      <c r="K27" s="7">
        <f>IF($A27="","",'ĐĂNG KÝ'!$E27)</f>
        <v/>
      </c>
      <c r="L27" s="7">
        <f>IF($A27="","",'ĐĂNG KÝ'!$F27)</f>
        <v/>
      </c>
      <c r="M27" s="6" t="n"/>
      <c r="N27" s="6" t="n"/>
      <c r="O27" s="6" t="n"/>
      <c r="P27" s="7">
        <f>IF($A27="","",IFERROR(VLOOKUP($A27,'THÀNH VIÊN'!$A$3:$J$200,6,FALSE),""))</f>
        <v/>
      </c>
      <c r="Q27" s="6" t="n"/>
      <c r="R27" s="15" t="n"/>
      <c r="S27" s="7">
        <f>IF($A27="","",'ĐĂNG KÝ'!$R27)</f>
        <v/>
      </c>
      <c r="T27" s="6" t="n"/>
      <c r="U27" s="6" t="n"/>
      <c r="V27" s="6" t="n"/>
    </row>
    <row r="28">
      <c r="A28" s="7">
        <f>IF('ĐĂNG KÝ'!$R28="","",'ĐĂNG KÝ'!$A28)</f>
        <v/>
      </c>
      <c r="B28" s="7">
        <f>IF($A28="","",'ĐĂNG KÝ'!$B28)</f>
        <v/>
      </c>
      <c r="C28" s="6" t="n"/>
      <c r="D28" s="6" t="n"/>
      <c r="E28" s="6" t="n"/>
      <c r="F28" s="6" t="n"/>
      <c r="G28" s="6" t="n"/>
      <c r="H28" s="6" t="n"/>
      <c r="I28" s="18">
        <f>IF($A28="","",IFERROR(VLOOKUP($A28,'THÀNH VIÊN'!$A$3:$J$200,5,FALSE),""))</f>
        <v/>
      </c>
      <c r="J28" s="7">
        <f>IF($A28="","",IFERROR(VLOOKUP($A28,'THÀNH VIÊN'!$A$3:$J$200,4,FALSE),""))</f>
        <v/>
      </c>
      <c r="K28" s="7">
        <f>IF($A28="","",'ĐĂNG KÝ'!$E28)</f>
        <v/>
      </c>
      <c r="L28" s="7">
        <f>IF($A28="","",'ĐĂNG KÝ'!$F28)</f>
        <v/>
      </c>
      <c r="M28" s="6" t="n"/>
      <c r="N28" s="6" t="n"/>
      <c r="O28" s="6" t="n"/>
      <c r="P28" s="7">
        <f>IF($A28="","",IFERROR(VLOOKUP($A28,'THÀNH VIÊN'!$A$3:$J$200,6,FALSE),""))</f>
        <v/>
      </c>
      <c r="Q28" s="6" t="n"/>
      <c r="R28" s="15" t="n"/>
      <c r="S28" s="7">
        <f>IF($A28="","",'ĐĂNG KÝ'!$R28)</f>
        <v/>
      </c>
      <c r="T28" s="6" t="n"/>
      <c r="U28" s="6" t="n"/>
      <c r="V28" s="6" t="n"/>
    </row>
    <row r="29">
      <c r="A29" s="7">
        <f>IF('ĐĂNG KÝ'!$R29="","",'ĐĂNG KÝ'!$A29)</f>
        <v/>
      </c>
      <c r="B29" s="7">
        <f>IF($A29="","",'ĐĂNG KÝ'!$B29)</f>
        <v/>
      </c>
      <c r="C29" s="6" t="n"/>
      <c r="D29" s="6" t="n"/>
      <c r="E29" s="6" t="n"/>
      <c r="F29" s="6" t="n"/>
      <c r="G29" s="6" t="n"/>
      <c r="H29" s="6" t="n"/>
      <c r="I29" s="18">
        <f>IF($A29="","",IFERROR(VLOOKUP($A29,'THÀNH VIÊN'!$A$3:$J$200,5,FALSE),""))</f>
        <v/>
      </c>
      <c r="J29" s="7">
        <f>IF($A29="","",IFERROR(VLOOKUP($A29,'THÀNH VIÊN'!$A$3:$J$200,4,FALSE),""))</f>
        <v/>
      </c>
      <c r="K29" s="7">
        <f>IF($A29="","",'ĐĂNG KÝ'!$E29)</f>
        <v/>
      </c>
      <c r="L29" s="7">
        <f>IF($A29="","",'ĐĂNG KÝ'!$F29)</f>
        <v/>
      </c>
      <c r="M29" s="6" t="n"/>
      <c r="N29" s="6" t="n"/>
      <c r="O29" s="6" t="n"/>
      <c r="P29" s="7">
        <f>IF($A29="","",IFERROR(VLOOKUP($A29,'THÀNH VIÊN'!$A$3:$J$200,6,FALSE),""))</f>
        <v/>
      </c>
      <c r="Q29" s="6" t="n"/>
      <c r="R29" s="15" t="n"/>
      <c r="S29" s="7">
        <f>IF($A29="","",'ĐĂNG KÝ'!$R29)</f>
        <v/>
      </c>
      <c r="T29" s="6" t="n"/>
      <c r="U29" s="6" t="n"/>
      <c r="V29" s="6" t="n"/>
    </row>
    <row r="30">
      <c r="A30" s="7">
        <f>IF('ĐĂNG KÝ'!$R30="","",'ĐĂNG KÝ'!$A30)</f>
        <v/>
      </c>
      <c r="B30" s="7">
        <f>IF($A30="","",'ĐĂNG KÝ'!$B30)</f>
        <v/>
      </c>
      <c r="C30" s="6" t="n"/>
      <c r="D30" s="6" t="n"/>
      <c r="E30" s="6" t="n"/>
      <c r="F30" s="6" t="n"/>
      <c r="G30" s="6" t="n"/>
      <c r="H30" s="6" t="n"/>
      <c r="I30" s="18">
        <f>IF($A30="","",IFERROR(VLOOKUP($A30,'THÀNH VIÊN'!$A$3:$J$200,5,FALSE),""))</f>
        <v/>
      </c>
      <c r="J30" s="7">
        <f>IF($A30="","",IFERROR(VLOOKUP($A30,'THÀNH VIÊN'!$A$3:$J$200,4,FALSE),""))</f>
        <v/>
      </c>
      <c r="K30" s="7">
        <f>IF($A30="","",'ĐĂNG KÝ'!$E30)</f>
        <v/>
      </c>
      <c r="L30" s="7">
        <f>IF($A30="","",'ĐĂNG KÝ'!$F30)</f>
        <v/>
      </c>
      <c r="M30" s="6" t="n"/>
      <c r="N30" s="6" t="n"/>
      <c r="O30" s="6" t="n"/>
      <c r="P30" s="7">
        <f>IF($A30="","",IFERROR(VLOOKUP($A30,'THÀNH VIÊN'!$A$3:$J$200,6,FALSE),""))</f>
        <v/>
      </c>
      <c r="Q30" s="6" t="n"/>
      <c r="R30" s="15" t="n"/>
      <c r="S30" s="7">
        <f>IF($A30="","",'ĐĂNG KÝ'!$R30)</f>
        <v/>
      </c>
      <c r="T30" s="6" t="n"/>
      <c r="U30" s="6" t="n"/>
      <c r="V30" s="6" t="n"/>
    </row>
    <row r="31">
      <c r="A31" s="7">
        <f>IF('ĐĂNG KÝ'!$R31="","",'ĐĂNG KÝ'!$A31)</f>
        <v/>
      </c>
      <c r="B31" s="7">
        <f>IF($A31="","",'ĐĂNG KÝ'!$B31)</f>
        <v/>
      </c>
      <c r="C31" s="6" t="n"/>
      <c r="D31" s="6" t="n"/>
      <c r="E31" s="6" t="n"/>
      <c r="F31" s="6" t="n"/>
      <c r="G31" s="6" t="n"/>
      <c r="H31" s="6" t="n"/>
      <c r="I31" s="18">
        <f>IF($A31="","",IFERROR(VLOOKUP($A31,'THÀNH VIÊN'!$A$3:$J$200,5,FALSE),""))</f>
        <v/>
      </c>
      <c r="J31" s="7">
        <f>IF($A31="","",IFERROR(VLOOKUP($A31,'THÀNH VIÊN'!$A$3:$J$200,4,FALSE),""))</f>
        <v/>
      </c>
      <c r="K31" s="7">
        <f>IF($A31="","",'ĐĂNG KÝ'!$E31)</f>
        <v/>
      </c>
      <c r="L31" s="7">
        <f>IF($A31="","",'ĐĂNG KÝ'!$F31)</f>
        <v/>
      </c>
      <c r="M31" s="6" t="n"/>
      <c r="N31" s="6" t="n"/>
      <c r="O31" s="6" t="n"/>
      <c r="P31" s="7">
        <f>IF($A31="","",IFERROR(VLOOKUP($A31,'THÀNH VIÊN'!$A$3:$J$200,6,FALSE),""))</f>
        <v/>
      </c>
      <c r="Q31" s="6" t="n"/>
      <c r="R31" s="15" t="n"/>
      <c r="S31" s="7">
        <f>IF($A31="","",'ĐĂNG KÝ'!$R31)</f>
        <v/>
      </c>
      <c r="T31" s="6" t="n"/>
      <c r="U31" s="6" t="n"/>
      <c r="V31" s="6" t="n"/>
    </row>
    <row r="32">
      <c r="A32" s="7">
        <f>IF('ĐĂNG KÝ'!$R32="","",'ĐĂNG KÝ'!$A32)</f>
        <v/>
      </c>
      <c r="B32" s="7">
        <f>IF($A32="","",'ĐĂNG KÝ'!$B32)</f>
        <v/>
      </c>
      <c r="C32" s="6" t="n"/>
      <c r="D32" s="6" t="n"/>
      <c r="E32" s="6" t="n"/>
      <c r="F32" s="6" t="n"/>
      <c r="G32" s="6" t="n"/>
      <c r="H32" s="6" t="n"/>
      <c r="I32" s="18">
        <f>IF($A32="","",IFERROR(VLOOKUP($A32,'THÀNH VIÊN'!$A$3:$J$200,5,FALSE),""))</f>
        <v/>
      </c>
      <c r="J32" s="7">
        <f>IF($A32="","",IFERROR(VLOOKUP($A32,'THÀNH VIÊN'!$A$3:$J$200,4,FALSE),""))</f>
        <v/>
      </c>
      <c r="K32" s="7">
        <f>IF($A32="","",'ĐĂNG KÝ'!$E32)</f>
        <v/>
      </c>
      <c r="L32" s="7">
        <f>IF($A32="","",'ĐĂNG KÝ'!$F32)</f>
        <v/>
      </c>
      <c r="M32" s="6" t="n"/>
      <c r="N32" s="6" t="n"/>
      <c r="O32" s="6" t="n"/>
      <c r="P32" s="7">
        <f>IF($A32="","",IFERROR(VLOOKUP($A32,'THÀNH VIÊN'!$A$3:$J$200,6,FALSE),""))</f>
        <v/>
      </c>
      <c r="Q32" s="6" t="n"/>
      <c r="R32" s="15" t="n"/>
      <c r="S32" s="7">
        <f>IF($A32="","",'ĐĂNG KÝ'!$R32)</f>
        <v/>
      </c>
      <c r="T32" s="6" t="n"/>
      <c r="U32" s="6" t="n"/>
      <c r="V32" s="6" t="n"/>
    </row>
    <row r="33">
      <c r="A33" s="7">
        <f>IF('ĐĂNG KÝ'!$R33="","",'ĐĂNG KÝ'!$A33)</f>
        <v/>
      </c>
      <c r="B33" s="7">
        <f>IF($A33="","",'ĐĂNG KÝ'!$B33)</f>
        <v/>
      </c>
      <c r="C33" s="6" t="n"/>
      <c r="D33" s="6" t="n"/>
      <c r="E33" s="6" t="n"/>
      <c r="F33" s="6" t="n"/>
      <c r="G33" s="6" t="n"/>
      <c r="H33" s="6" t="n"/>
      <c r="I33" s="18">
        <f>IF($A33="","",IFERROR(VLOOKUP($A33,'THÀNH VIÊN'!$A$3:$J$200,5,FALSE),""))</f>
        <v/>
      </c>
      <c r="J33" s="7">
        <f>IF($A33="","",IFERROR(VLOOKUP($A33,'THÀNH VIÊN'!$A$3:$J$200,4,FALSE),""))</f>
        <v/>
      </c>
      <c r="K33" s="7">
        <f>IF($A33="","",'ĐĂNG KÝ'!$E33)</f>
        <v/>
      </c>
      <c r="L33" s="7">
        <f>IF($A33="","",'ĐĂNG KÝ'!$F33)</f>
        <v/>
      </c>
      <c r="M33" s="6" t="n"/>
      <c r="N33" s="6" t="n"/>
      <c r="O33" s="6" t="n"/>
      <c r="P33" s="7">
        <f>IF($A33="","",IFERROR(VLOOKUP($A33,'THÀNH VIÊN'!$A$3:$J$200,6,FALSE),""))</f>
        <v/>
      </c>
      <c r="Q33" s="6" t="n"/>
      <c r="R33" s="15" t="n"/>
      <c r="S33" s="7">
        <f>IF($A33="","",'ĐĂNG KÝ'!$R33)</f>
        <v/>
      </c>
      <c r="T33" s="6" t="n"/>
      <c r="U33" s="6" t="n"/>
      <c r="V33" s="6" t="n"/>
    </row>
    <row r="34">
      <c r="A34" s="7">
        <f>IF('ĐĂNG KÝ'!$R34="","",'ĐĂNG KÝ'!$A34)</f>
        <v/>
      </c>
      <c r="B34" s="7">
        <f>IF($A34="","",'ĐĂNG KÝ'!$B34)</f>
        <v/>
      </c>
      <c r="C34" s="6" t="n"/>
      <c r="D34" s="6" t="n"/>
      <c r="E34" s="6" t="n"/>
      <c r="F34" s="6" t="n"/>
      <c r="G34" s="6" t="n"/>
      <c r="H34" s="6" t="n"/>
      <c r="I34" s="18">
        <f>IF($A34="","",IFERROR(VLOOKUP($A34,'THÀNH VIÊN'!$A$3:$J$200,5,FALSE),""))</f>
        <v/>
      </c>
      <c r="J34" s="7">
        <f>IF($A34="","",IFERROR(VLOOKUP($A34,'THÀNH VIÊN'!$A$3:$J$200,4,FALSE),""))</f>
        <v/>
      </c>
      <c r="K34" s="7">
        <f>IF($A34="","",'ĐĂNG KÝ'!$E34)</f>
        <v/>
      </c>
      <c r="L34" s="7">
        <f>IF($A34="","",'ĐĂNG KÝ'!$F34)</f>
        <v/>
      </c>
      <c r="M34" s="6" t="n"/>
      <c r="N34" s="6" t="n"/>
      <c r="O34" s="6" t="n"/>
      <c r="P34" s="7">
        <f>IF($A34="","",IFERROR(VLOOKUP($A34,'THÀNH VIÊN'!$A$3:$J$200,6,FALSE),""))</f>
        <v/>
      </c>
      <c r="Q34" s="6" t="n"/>
      <c r="R34" s="15" t="n"/>
      <c r="S34" s="7">
        <f>IF($A34="","",'ĐĂNG KÝ'!$R34)</f>
        <v/>
      </c>
      <c r="T34" s="6" t="n"/>
      <c r="U34" s="6" t="n"/>
      <c r="V34" s="6" t="n"/>
    </row>
    <row r="35">
      <c r="A35" s="7">
        <f>IF('ĐĂNG KÝ'!$R35="","",'ĐĂNG KÝ'!$A35)</f>
        <v/>
      </c>
      <c r="B35" s="7">
        <f>IF($A35="","",'ĐĂNG KÝ'!$B35)</f>
        <v/>
      </c>
      <c r="C35" s="6" t="n"/>
      <c r="D35" s="6" t="n"/>
      <c r="E35" s="6" t="n"/>
      <c r="F35" s="6" t="n"/>
      <c r="G35" s="6" t="n"/>
      <c r="H35" s="6" t="n"/>
      <c r="I35" s="18">
        <f>IF($A35="","",IFERROR(VLOOKUP($A35,'THÀNH VIÊN'!$A$3:$J$200,5,FALSE),""))</f>
        <v/>
      </c>
      <c r="J35" s="7">
        <f>IF($A35="","",IFERROR(VLOOKUP($A35,'THÀNH VIÊN'!$A$3:$J$200,4,FALSE),""))</f>
        <v/>
      </c>
      <c r="K35" s="7">
        <f>IF($A35="","",'ĐĂNG KÝ'!$E35)</f>
        <v/>
      </c>
      <c r="L35" s="7">
        <f>IF($A35="","",'ĐĂNG KÝ'!$F35)</f>
        <v/>
      </c>
      <c r="M35" s="6" t="n"/>
      <c r="N35" s="6" t="n"/>
      <c r="O35" s="6" t="n"/>
      <c r="P35" s="7">
        <f>IF($A35="","",IFERROR(VLOOKUP($A35,'THÀNH VIÊN'!$A$3:$J$200,6,FALSE),""))</f>
        <v/>
      </c>
      <c r="Q35" s="6" t="n"/>
      <c r="R35" s="15" t="n"/>
      <c r="S35" s="7">
        <f>IF($A35="","",'ĐĂNG KÝ'!$R35)</f>
        <v/>
      </c>
      <c r="T35" s="6" t="n"/>
      <c r="U35" s="6" t="n"/>
      <c r="V35" s="6" t="n"/>
    </row>
    <row r="36">
      <c r="A36" s="7">
        <f>IF('ĐĂNG KÝ'!$R36="","",'ĐĂNG KÝ'!$A36)</f>
        <v/>
      </c>
      <c r="B36" s="7">
        <f>IF($A36="","",'ĐĂNG KÝ'!$B36)</f>
        <v/>
      </c>
      <c r="C36" s="6" t="n"/>
      <c r="D36" s="6" t="n"/>
      <c r="E36" s="6" t="n"/>
      <c r="F36" s="6" t="n"/>
      <c r="G36" s="6" t="n"/>
      <c r="H36" s="6" t="n"/>
      <c r="I36" s="18">
        <f>IF($A36="","",IFERROR(VLOOKUP($A36,'THÀNH VIÊN'!$A$3:$J$200,5,FALSE),""))</f>
        <v/>
      </c>
      <c r="J36" s="7">
        <f>IF($A36="","",IFERROR(VLOOKUP($A36,'THÀNH VIÊN'!$A$3:$J$200,4,FALSE),""))</f>
        <v/>
      </c>
      <c r="K36" s="7">
        <f>IF($A36="","",'ĐĂNG KÝ'!$E36)</f>
        <v/>
      </c>
      <c r="L36" s="7">
        <f>IF($A36="","",'ĐĂNG KÝ'!$F36)</f>
        <v/>
      </c>
      <c r="M36" s="6" t="n"/>
      <c r="N36" s="6" t="n"/>
      <c r="O36" s="6" t="n"/>
      <c r="P36" s="7">
        <f>IF($A36="","",IFERROR(VLOOKUP($A36,'THÀNH VIÊN'!$A$3:$J$200,6,FALSE),""))</f>
        <v/>
      </c>
      <c r="Q36" s="6" t="n"/>
      <c r="R36" s="15" t="n"/>
      <c r="S36" s="7">
        <f>IF($A36="","",'ĐĂNG KÝ'!$R36)</f>
        <v/>
      </c>
      <c r="T36" s="6" t="n"/>
      <c r="U36" s="6" t="n"/>
      <c r="V36" s="6" t="n"/>
    </row>
    <row r="37">
      <c r="A37" s="7">
        <f>IF('ĐĂNG KÝ'!$R37="","",'ĐĂNG KÝ'!$A37)</f>
        <v/>
      </c>
      <c r="B37" s="7">
        <f>IF($A37="","",'ĐĂNG KÝ'!$B37)</f>
        <v/>
      </c>
      <c r="C37" s="6" t="n"/>
      <c r="D37" s="6" t="n"/>
      <c r="E37" s="6" t="n"/>
      <c r="F37" s="6" t="n"/>
      <c r="G37" s="6" t="n"/>
      <c r="H37" s="6" t="n"/>
      <c r="I37" s="18">
        <f>IF($A37="","",IFERROR(VLOOKUP($A37,'THÀNH VIÊN'!$A$3:$J$200,5,FALSE),""))</f>
        <v/>
      </c>
      <c r="J37" s="7">
        <f>IF($A37="","",IFERROR(VLOOKUP($A37,'THÀNH VIÊN'!$A$3:$J$200,4,FALSE),""))</f>
        <v/>
      </c>
      <c r="K37" s="7">
        <f>IF($A37="","",'ĐĂNG KÝ'!$E37)</f>
        <v/>
      </c>
      <c r="L37" s="7">
        <f>IF($A37="","",'ĐĂNG KÝ'!$F37)</f>
        <v/>
      </c>
      <c r="M37" s="6" t="n"/>
      <c r="N37" s="6" t="n"/>
      <c r="O37" s="6" t="n"/>
      <c r="P37" s="7">
        <f>IF($A37="","",IFERROR(VLOOKUP($A37,'THÀNH VIÊN'!$A$3:$J$200,6,FALSE),""))</f>
        <v/>
      </c>
      <c r="Q37" s="6" t="n"/>
      <c r="R37" s="15" t="n"/>
      <c r="S37" s="7">
        <f>IF($A37="","",'ĐĂNG KÝ'!$R37)</f>
        <v/>
      </c>
      <c r="T37" s="6" t="n"/>
      <c r="U37" s="6" t="n"/>
      <c r="V37" s="6" t="n"/>
    </row>
    <row r="38">
      <c r="A38" s="7">
        <f>IF('ĐĂNG KÝ'!$R38="","",'ĐĂNG KÝ'!$A38)</f>
        <v/>
      </c>
      <c r="B38" s="7">
        <f>IF($A38="","",'ĐĂNG KÝ'!$B38)</f>
        <v/>
      </c>
      <c r="C38" s="6" t="n"/>
      <c r="D38" s="6" t="n"/>
      <c r="E38" s="6" t="n"/>
      <c r="F38" s="6" t="n"/>
      <c r="G38" s="6" t="n"/>
      <c r="H38" s="6" t="n"/>
      <c r="I38" s="18">
        <f>IF($A38="","",IFERROR(VLOOKUP($A38,'THÀNH VIÊN'!$A$3:$J$200,5,FALSE),""))</f>
        <v/>
      </c>
      <c r="J38" s="7">
        <f>IF($A38="","",IFERROR(VLOOKUP($A38,'THÀNH VIÊN'!$A$3:$J$200,4,FALSE),""))</f>
        <v/>
      </c>
      <c r="K38" s="7">
        <f>IF($A38="","",'ĐĂNG KÝ'!$E38)</f>
        <v/>
      </c>
      <c r="L38" s="7">
        <f>IF($A38="","",'ĐĂNG KÝ'!$F38)</f>
        <v/>
      </c>
      <c r="M38" s="6" t="n"/>
      <c r="N38" s="6" t="n"/>
      <c r="O38" s="6" t="n"/>
      <c r="P38" s="7">
        <f>IF($A38="","",IFERROR(VLOOKUP($A38,'THÀNH VIÊN'!$A$3:$J$200,6,FALSE),""))</f>
        <v/>
      </c>
      <c r="Q38" s="6" t="n"/>
      <c r="R38" s="15" t="n"/>
      <c r="S38" s="7">
        <f>IF($A38="","",'ĐĂNG KÝ'!$R38)</f>
        <v/>
      </c>
      <c r="T38" s="6" t="n"/>
      <c r="U38" s="6" t="n"/>
      <c r="V38" s="6" t="n"/>
    </row>
    <row r="39">
      <c r="A39" s="7">
        <f>IF('ĐĂNG KÝ'!$R39="","",'ĐĂNG KÝ'!$A39)</f>
        <v/>
      </c>
      <c r="B39" s="7">
        <f>IF($A39="","",'ĐĂNG KÝ'!$B39)</f>
        <v/>
      </c>
      <c r="C39" s="6" t="n"/>
      <c r="D39" s="6" t="n"/>
      <c r="E39" s="6" t="n"/>
      <c r="F39" s="6" t="n"/>
      <c r="G39" s="6" t="n"/>
      <c r="H39" s="6" t="n"/>
      <c r="I39" s="18">
        <f>IF($A39="","",IFERROR(VLOOKUP($A39,'THÀNH VIÊN'!$A$3:$J$200,5,FALSE),""))</f>
        <v/>
      </c>
      <c r="J39" s="7">
        <f>IF($A39="","",IFERROR(VLOOKUP($A39,'THÀNH VIÊN'!$A$3:$J$200,4,FALSE),""))</f>
        <v/>
      </c>
      <c r="K39" s="7">
        <f>IF($A39="","",'ĐĂNG KÝ'!$E39)</f>
        <v/>
      </c>
      <c r="L39" s="7">
        <f>IF($A39="","",'ĐĂNG KÝ'!$F39)</f>
        <v/>
      </c>
      <c r="M39" s="6" t="n"/>
      <c r="N39" s="6" t="n"/>
      <c r="O39" s="6" t="n"/>
      <c r="P39" s="7">
        <f>IF($A39="","",IFERROR(VLOOKUP($A39,'THÀNH VIÊN'!$A$3:$J$200,6,FALSE),""))</f>
        <v/>
      </c>
      <c r="Q39" s="6" t="n"/>
      <c r="R39" s="15" t="n"/>
      <c r="S39" s="7">
        <f>IF($A39="","",'ĐĂNG KÝ'!$R39)</f>
        <v/>
      </c>
      <c r="T39" s="6" t="n"/>
      <c r="U39" s="6" t="n"/>
      <c r="V39" s="6" t="n"/>
    </row>
    <row r="40">
      <c r="A40" s="7">
        <f>IF('ĐĂNG KÝ'!$R40="","",'ĐĂNG KÝ'!$A40)</f>
        <v/>
      </c>
      <c r="B40" s="7">
        <f>IF($A40="","",'ĐĂNG KÝ'!$B40)</f>
        <v/>
      </c>
      <c r="C40" s="6" t="n"/>
      <c r="D40" s="6" t="n"/>
      <c r="E40" s="6" t="n"/>
      <c r="F40" s="6" t="n"/>
      <c r="G40" s="6" t="n"/>
      <c r="H40" s="6" t="n"/>
      <c r="I40" s="18">
        <f>IF($A40="","",IFERROR(VLOOKUP($A40,'THÀNH VIÊN'!$A$3:$J$200,5,FALSE),""))</f>
        <v/>
      </c>
      <c r="J40" s="7">
        <f>IF($A40="","",IFERROR(VLOOKUP($A40,'THÀNH VIÊN'!$A$3:$J$200,4,FALSE),""))</f>
        <v/>
      </c>
      <c r="K40" s="7">
        <f>IF($A40="","",'ĐĂNG KÝ'!$E40)</f>
        <v/>
      </c>
      <c r="L40" s="7">
        <f>IF($A40="","",'ĐĂNG KÝ'!$F40)</f>
        <v/>
      </c>
      <c r="M40" s="6" t="n"/>
      <c r="N40" s="6" t="n"/>
      <c r="O40" s="6" t="n"/>
      <c r="P40" s="7">
        <f>IF($A40="","",IFERROR(VLOOKUP($A40,'THÀNH VIÊN'!$A$3:$J$200,6,FALSE),""))</f>
        <v/>
      </c>
      <c r="Q40" s="6" t="n"/>
      <c r="R40" s="15" t="n"/>
      <c r="S40" s="7">
        <f>IF($A40="","",'ĐĂNG KÝ'!$R40)</f>
        <v/>
      </c>
      <c r="T40" s="6" t="n"/>
      <c r="U40" s="6" t="n"/>
      <c r="V40" s="6" t="n"/>
    </row>
  </sheetData>
  <mergeCells count="1">
    <mergeCell ref="A1:V1"/>
  </mergeCells>
  <dataValidations count="2">
    <dataValidation sqref="D3:D40 F3:F40" showDropDown="0" showInputMessage="0" showErrorMessage="0" allowBlank="1" type="list">
      <formula1>"Yes,No"</formula1>
    </dataValidation>
    <dataValidation sqref="U3:U40" showDropDown="0" showInputMessage="0" showErrorMessage="0" allowBlank="1" type="list">
      <formula1>"Đã xác nhận,Chưa xác nhận"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9" customWidth="1" min="4" max="4"/>
    <col width="16" customWidth="1" min="5" max="5"/>
    <col width="12" customWidth="1" min="6" max="6"/>
    <col width="8" customWidth="1" min="7" max="7"/>
    <col width="26" customWidth="1" min="8" max="8"/>
  </cols>
  <sheetData>
    <row r="1" ht="24" customHeight="1">
      <c r="A1" s="1" t="inlineStr">
        <is>
          <t>🔒 ĐỘI HÌNH (admin) — phân đội Đồng đội 3 / Đồng đội 5</t>
        </is>
      </c>
    </row>
    <row r="2" ht="30" customHeight="1">
      <c r="A2" s="9" t="inlineStr">
        <is>
          <t>Mã thành viên</t>
        </is>
      </c>
      <c r="B2" s="9" t="inlineStr">
        <is>
          <t>Họ tên</t>
        </is>
      </c>
      <c r="C2" s="9" t="inlineStr">
        <is>
          <t>Kyu/Dan</t>
        </is>
      </c>
      <c r="D2" s="9" t="inlineStr">
        <is>
          <t>Giới tính</t>
        </is>
      </c>
      <c r="E2" s="9" t="inlineStr">
        <is>
          <t>Nội dung</t>
        </is>
      </c>
      <c r="F2" s="9" t="inlineStr">
        <is>
          <t>Mã đội</t>
        </is>
      </c>
      <c r="G2" s="9" t="inlineStr">
        <is>
          <t>Vị trí</t>
        </is>
      </c>
      <c r="H2" s="9" t="inlineStr">
        <is>
          <t>Ghi chú</t>
        </is>
      </c>
    </row>
    <row r="3">
      <c r="A3" s="8" t="n"/>
      <c r="B3" s="7">
        <f>IF($A3="","",IFERROR(VLOOKUP($A3,'THÀNH VIÊN'!$A$3:$J$200,3,FALSE),""))</f>
        <v/>
      </c>
      <c r="C3" s="7">
        <f>IF($A3="","",IFERROR(VLOOKUP($A3,'THÀNH VIÊN'!$A$3:$J$200,6,FALSE),""))</f>
        <v/>
      </c>
      <c r="D3" s="7">
        <f>IF($A3="","",IFERROR(VLOOKUP($A3,'THÀNH VIÊN'!$A$3:$J$200,4,FALSE),""))</f>
        <v/>
      </c>
      <c r="E3" s="8" t="n"/>
      <c r="F3" s="8" t="n"/>
      <c r="G3" s="8" t="n"/>
      <c r="H3" s="8" t="n"/>
    </row>
    <row r="4">
      <c r="A4" s="8" t="n"/>
      <c r="B4" s="7">
        <f>IF($A4="","",IFERROR(VLOOKUP($A4,'THÀNH VIÊN'!$A$3:$J$200,3,FALSE),""))</f>
        <v/>
      </c>
      <c r="C4" s="7">
        <f>IF($A4="","",IFERROR(VLOOKUP($A4,'THÀNH VIÊN'!$A$3:$J$200,6,FALSE),""))</f>
        <v/>
      </c>
      <c r="D4" s="7">
        <f>IF($A4="","",IFERROR(VLOOKUP($A4,'THÀNH VIÊN'!$A$3:$J$200,4,FALSE),""))</f>
        <v/>
      </c>
      <c r="E4" s="8" t="n"/>
      <c r="F4" s="8" t="n"/>
      <c r="G4" s="8" t="n"/>
      <c r="H4" s="8" t="n"/>
    </row>
    <row r="5">
      <c r="A5" s="8" t="n"/>
      <c r="B5" s="7">
        <f>IF($A5="","",IFERROR(VLOOKUP($A5,'THÀNH VIÊN'!$A$3:$J$200,3,FALSE),""))</f>
        <v/>
      </c>
      <c r="C5" s="7">
        <f>IF($A5="","",IFERROR(VLOOKUP($A5,'THÀNH VIÊN'!$A$3:$J$200,6,FALSE),""))</f>
        <v/>
      </c>
      <c r="D5" s="7">
        <f>IF($A5="","",IFERROR(VLOOKUP($A5,'THÀNH VIÊN'!$A$3:$J$200,4,FALSE),""))</f>
        <v/>
      </c>
      <c r="E5" s="8" t="n"/>
      <c r="F5" s="8" t="n"/>
      <c r="G5" s="8" t="n"/>
      <c r="H5" s="8" t="n"/>
    </row>
    <row r="6">
      <c r="A6" s="8" t="n"/>
      <c r="B6" s="7">
        <f>IF($A6="","",IFERROR(VLOOKUP($A6,'THÀNH VIÊN'!$A$3:$J$200,3,FALSE),""))</f>
        <v/>
      </c>
      <c r="C6" s="7">
        <f>IF($A6="","",IFERROR(VLOOKUP($A6,'THÀNH VIÊN'!$A$3:$J$200,6,FALSE),""))</f>
        <v/>
      </c>
      <c r="D6" s="7">
        <f>IF($A6="","",IFERROR(VLOOKUP($A6,'THÀNH VIÊN'!$A$3:$J$200,4,FALSE),""))</f>
        <v/>
      </c>
      <c r="E6" s="8" t="n"/>
      <c r="F6" s="8" t="n"/>
      <c r="G6" s="8" t="n"/>
      <c r="H6" s="8" t="n"/>
    </row>
    <row r="7">
      <c r="A7" s="8" t="n"/>
      <c r="B7" s="7">
        <f>IF($A7="","",IFERROR(VLOOKUP($A7,'THÀNH VIÊN'!$A$3:$J$200,3,FALSE),""))</f>
        <v/>
      </c>
      <c r="C7" s="7">
        <f>IF($A7="","",IFERROR(VLOOKUP($A7,'THÀNH VIÊN'!$A$3:$J$200,6,FALSE),""))</f>
        <v/>
      </c>
      <c r="D7" s="7">
        <f>IF($A7="","",IFERROR(VLOOKUP($A7,'THÀNH VIÊN'!$A$3:$J$200,4,FALSE),""))</f>
        <v/>
      </c>
      <c r="E7" s="8" t="n"/>
      <c r="F7" s="8" t="n"/>
      <c r="G7" s="8" t="n"/>
      <c r="H7" s="8" t="n"/>
    </row>
    <row r="8">
      <c r="A8" s="8" t="n"/>
      <c r="B8" s="7">
        <f>IF($A8="","",IFERROR(VLOOKUP($A8,'THÀNH VIÊN'!$A$3:$J$200,3,FALSE),""))</f>
        <v/>
      </c>
      <c r="C8" s="7">
        <f>IF($A8="","",IFERROR(VLOOKUP($A8,'THÀNH VIÊN'!$A$3:$J$200,6,FALSE),""))</f>
        <v/>
      </c>
      <c r="D8" s="7">
        <f>IF($A8="","",IFERROR(VLOOKUP($A8,'THÀNH VIÊN'!$A$3:$J$200,4,FALSE),""))</f>
        <v/>
      </c>
      <c r="E8" s="8" t="n"/>
      <c r="F8" s="8" t="n"/>
      <c r="G8" s="8" t="n"/>
      <c r="H8" s="8" t="n"/>
    </row>
    <row r="9">
      <c r="A9" s="8" t="n"/>
      <c r="B9" s="7">
        <f>IF($A9="","",IFERROR(VLOOKUP($A9,'THÀNH VIÊN'!$A$3:$J$200,3,FALSE),""))</f>
        <v/>
      </c>
      <c r="C9" s="7">
        <f>IF($A9="","",IFERROR(VLOOKUP($A9,'THÀNH VIÊN'!$A$3:$J$200,6,FALSE),""))</f>
        <v/>
      </c>
      <c r="D9" s="7">
        <f>IF($A9="","",IFERROR(VLOOKUP($A9,'THÀNH VIÊN'!$A$3:$J$200,4,FALSE),""))</f>
        <v/>
      </c>
      <c r="E9" s="8" t="n"/>
      <c r="F9" s="8" t="n"/>
      <c r="G9" s="8" t="n"/>
      <c r="H9" s="8" t="n"/>
    </row>
    <row r="10">
      <c r="A10" s="8" t="n"/>
      <c r="B10" s="7">
        <f>IF($A10="","",IFERROR(VLOOKUP($A10,'THÀNH VIÊN'!$A$3:$J$200,3,FALSE),""))</f>
        <v/>
      </c>
      <c r="C10" s="7">
        <f>IF($A10="","",IFERROR(VLOOKUP($A10,'THÀNH VIÊN'!$A$3:$J$200,6,FALSE),""))</f>
        <v/>
      </c>
      <c r="D10" s="7">
        <f>IF($A10="","",IFERROR(VLOOKUP($A10,'THÀNH VIÊN'!$A$3:$J$200,4,FALSE),""))</f>
        <v/>
      </c>
      <c r="E10" s="8" t="n"/>
      <c r="F10" s="8" t="n"/>
      <c r="G10" s="8" t="n"/>
      <c r="H10" s="8" t="n"/>
    </row>
    <row r="11">
      <c r="A11" s="8" t="n"/>
      <c r="B11" s="7">
        <f>IF($A11="","",IFERROR(VLOOKUP($A11,'THÀNH VIÊN'!$A$3:$J$200,3,FALSE),""))</f>
        <v/>
      </c>
      <c r="C11" s="7">
        <f>IF($A11="","",IFERROR(VLOOKUP($A11,'THÀNH VIÊN'!$A$3:$J$200,6,FALSE),""))</f>
        <v/>
      </c>
      <c r="D11" s="7">
        <f>IF($A11="","",IFERROR(VLOOKUP($A11,'THÀNH VIÊN'!$A$3:$J$200,4,FALSE),""))</f>
        <v/>
      </c>
      <c r="E11" s="8" t="n"/>
      <c r="F11" s="8" t="n"/>
      <c r="G11" s="8" t="n"/>
      <c r="H11" s="8" t="n"/>
    </row>
    <row r="12">
      <c r="A12" s="8" t="n"/>
      <c r="B12" s="7">
        <f>IF($A12="","",IFERROR(VLOOKUP($A12,'THÀNH VIÊN'!$A$3:$J$200,3,FALSE),""))</f>
        <v/>
      </c>
      <c r="C12" s="7">
        <f>IF($A12="","",IFERROR(VLOOKUP($A12,'THÀNH VIÊN'!$A$3:$J$200,6,FALSE),""))</f>
        <v/>
      </c>
      <c r="D12" s="7">
        <f>IF($A12="","",IFERROR(VLOOKUP($A12,'THÀNH VIÊN'!$A$3:$J$200,4,FALSE),""))</f>
        <v/>
      </c>
      <c r="E12" s="8" t="n"/>
      <c r="F12" s="8" t="n"/>
      <c r="G12" s="8" t="n"/>
      <c r="H12" s="8" t="n"/>
    </row>
    <row r="13">
      <c r="A13" s="8" t="n"/>
      <c r="B13" s="7">
        <f>IF($A13="","",IFERROR(VLOOKUP($A13,'THÀNH VIÊN'!$A$3:$J$200,3,FALSE),""))</f>
        <v/>
      </c>
      <c r="C13" s="7">
        <f>IF($A13="","",IFERROR(VLOOKUP($A13,'THÀNH VIÊN'!$A$3:$J$200,6,FALSE),""))</f>
        <v/>
      </c>
      <c r="D13" s="7">
        <f>IF($A13="","",IFERROR(VLOOKUP($A13,'THÀNH VIÊN'!$A$3:$J$200,4,FALSE),""))</f>
        <v/>
      </c>
      <c r="E13" s="8" t="n"/>
      <c r="F13" s="8" t="n"/>
      <c r="G13" s="8" t="n"/>
      <c r="H13" s="8" t="n"/>
    </row>
    <row r="14">
      <c r="A14" s="8" t="n"/>
      <c r="B14" s="7">
        <f>IF($A14="","",IFERROR(VLOOKUP($A14,'THÀNH VIÊN'!$A$3:$J$200,3,FALSE),""))</f>
        <v/>
      </c>
      <c r="C14" s="7">
        <f>IF($A14="","",IFERROR(VLOOKUP($A14,'THÀNH VIÊN'!$A$3:$J$200,6,FALSE),""))</f>
        <v/>
      </c>
      <c r="D14" s="7">
        <f>IF($A14="","",IFERROR(VLOOKUP($A14,'THÀNH VIÊN'!$A$3:$J$200,4,FALSE),""))</f>
        <v/>
      </c>
      <c r="E14" s="8" t="n"/>
      <c r="F14" s="8" t="n"/>
      <c r="G14" s="8" t="n"/>
      <c r="H14" s="8" t="n"/>
    </row>
    <row r="15">
      <c r="A15" s="8" t="n"/>
      <c r="B15" s="7">
        <f>IF($A15="","",IFERROR(VLOOKUP($A15,'THÀNH VIÊN'!$A$3:$J$200,3,FALSE),""))</f>
        <v/>
      </c>
      <c r="C15" s="7">
        <f>IF($A15="","",IFERROR(VLOOKUP($A15,'THÀNH VIÊN'!$A$3:$J$200,6,FALSE),""))</f>
        <v/>
      </c>
      <c r="D15" s="7">
        <f>IF($A15="","",IFERROR(VLOOKUP($A15,'THÀNH VIÊN'!$A$3:$J$200,4,FALSE),""))</f>
        <v/>
      </c>
      <c r="E15" s="8" t="n"/>
      <c r="F15" s="8" t="n"/>
      <c r="G15" s="8" t="n"/>
      <c r="H15" s="8" t="n"/>
    </row>
    <row r="16">
      <c r="A16" s="8" t="n"/>
      <c r="B16" s="7">
        <f>IF($A16="","",IFERROR(VLOOKUP($A16,'THÀNH VIÊN'!$A$3:$J$200,3,FALSE),""))</f>
        <v/>
      </c>
      <c r="C16" s="7">
        <f>IF($A16="","",IFERROR(VLOOKUP($A16,'THÀNH VIÊN'!$A$3:$J$200,6,FALSE),""))</f>
        <v/>
      </c>
      <c r="D16" s="7">
        <f>IF($A16="","",IFERROR(VLOOKUP($A16,'THÀNH VIÊN'!$A$3:$J$200,4,FALSE),""))</f>
        <v/>
      </c>
      <c r="E16" s="8" t="n"/>
      <c r="F16" s="8" t="n"/>
      <c r="G16" s="8" t="n"/>
      <c r="H16" s="8" t="n"/>
    </row>
    <row r="17">
      <c r="A17" s="8" t="n"/>
      <c r="B17" s="7">
        <f>IF($A17="","",IFERROR(VLOOKUP($A17,'THÀNH VIÊN'!$A$3:$J$200,3,FALSE),""))</f>
        <v/>
      </c>
      <c r="C17" s="7">
        <f>IF($A17="","",IFERROR(VLOOKUP($A17,'THÀNH VIÊN'!$A$3:$J$200,6,FALSE),""))</f>
        <v/>
      </c>
      <c r="D17" s="7">
        <f>IF($A17="","",IFERROR(VLOOKUP($A17,'THÀNH VIÊN'!$A$3:$J$200,4,FALSE),""))</f>
        <v/>
      </c>
      <c r="E17" s="8" t="n"/>
      <c r="F17" s="8" t="n"/>
      <c r="G17" s="8" t="n"/>
      <c r="H17" s="8" t="n"/>
    </row>
    <row r="18">
      <c r="A18" s="8" t="n"/>
      <c r="B18" s="7">
        <f>IF($A18="","",IFERROR(VLOOKUP($A18,'THÀNH VIÊN'!$A$3:$J$200,3,FALSE),""))</f>
        <v/>
      </c>
      <c r="C18" s="7">
        <f>IF($A18="","",IFERROR(VLOOKUP($A18,'THÀNH VIÊN'!$A$3:$J$200,6,FALSE),""))</f>
        <v/>
      </c>
      <c r="D18" s="7">
        <f>IF($A18="","",IFERROR(VLOOKUP($A18,'THÀNH VIÊN'!$A$3:$J$200,4,FALSE),""))</f>
        <v/>
      </c>
      <c r="E18" s="8" t="n"/>
      <c r="F18" s="8" t="n"/>
      <c r="G18" s="8" t="n"/>
      <c r="H18" s="8" t="n"/>
    </row>
    <row r="19">
      <c r="A19" s="8" t="n"/>
      <c r="B19" s="7">
        <f>IF($A19="","",IFERROR(VLOOKUP($A19,'THÀNH VIÊN'!$A$3:$J$200,3,FALSE),""))</f>
        <v/>
      </c>
      <c r="C19" s="7">
        <f>IF($A19="","",IFERROR(VLOOKUP($A19,'THÀNH VIÊN'!$A$3:$J$200,6,FALSE),""))</f>
        <v/>
      </c>
      <c r="D19" s="7">
        <f>IF($A19="","",IFERROR(VLOOKUP($A19,'THÀNH VIÊN'!$A$3:$J$200,4,FALSE),""))</f>
        <v/>
      </c>
      <c r="E19" s="8" t="n"/>
      <c r="F19" s="8" t="n"/>
      <c r="G19" s="8" t="n"/>
      <c r="H19" s="8" t="n"/>
    </row>
    <row r="20">
      <c r="A20" s="8" t="n"/>
      <c r="B20" s="7">
        <f>IF($A20="","",IFERROR(VLOOKUP($A20,'THÀNH VIÊN'!$A$3:$J$200,3,FALSE),""))</f>
        <v/>
      </c>
      <c r="C20" s="7">
        <f>IF($A20="","",IFERROR(VLOOKUP($A20,'THÀNH VIÊN'!$A$3:$J$200,6,FALSE),""))</f>
        <v/>
      </c>
      <c r="D20" s="7">
        <f>IF($A20="","",IFERROR(VLOOKUP($A20,'THÀNH VIÊN'!$A$3:$J$200,4,FALSE),""))</f>
        <v/>
      </c>
      <c r="E20" s="8" t="n"/>
      <c r="F20" s="8" t="n"/>
      <c r="G20" s="8" t="n"/>
      <c r="H20" s="8" t="n"/>
    </row>
    <row r="21">
      <c r="A21" s="8" t="n"/>
      <c r="B21" s="7">
        <f>IF($A21="","",IFERROR(VLOOKUP($A21,'THÀNH VIÊN'!$A$3:$J$200,3,FALSE),""))</f>
        <v/>
      </c>
      <c r="C21" s="7">
        <f>IF($A21="","",IFERROR(VLOOKUP($A21,'THÀNH VIÊN'!$A$3:$J$200,6,FALSE),""))</f>
        <v/>
      </c>
      <c r="D21" s="7">
        <f>IF($A21="","",IFERROR(VLOOKUP($A21,'THÀNH VIÊN'!$A$3:$J$200,4,FALSE),""))</f>
        <v/>
      </c>
      <c r="E21" s="8" t="n"/>
      <c r="F21" s="8" t="n"/>
      <c r="G21" s="8" t="n"/>
      <c r="H21" s="8" t="n"/>
    </row>
    <row r="22">
      <c r="A22" s="8" t="n"/>
      <c r="B22" s="7">
        <f>IF($A22="","",IFERROR(VLOOKUP($A22,'THÀNH VIÊN'!$A$3:$J$200,3,FALSE),""))</f>
        <v/>
      </c>
      <c r="C22" s="7">
        <f>IF($A22="","",IFERROR(VLOOKUP($A22,'THÀNH VIÊN'!$A$3:$J$200,6,FALSE),""))</f>
        <v/>
      </c>
      <c r="D22" s="7">
        <f>IF($A22="","",IFERROR(VLOOKUP($A22,'THÀNH VIÊN'!$A$3:$J$200,4,FALSE),""))</f>
        <v/>
      </c>
      <c r="E22" s="8" t="n"/>
      <c r="F22" s="8" t="n"/>
      <c r="G22" s="8" t="n"/>
      <c r="H22" s="8" t="n"/>
    </row>
    <row r="23">
      <c r="A23" s="8" t="n"/>
      <c r="B23" s="7">
        <f>IF($A23="","",IFERROR(VLOOKUP($A23,'THÀNH VIÊN'!$A$3:$J$200,3,FALSE),""))</f>
        <v/>
      </c>
      <c r="C23" s="7">
        <f>IF($A23="","",IFERROR(VLOOKUP($A23,'THÀNH VIÊN'!$A$3:$J$200,6,FALSE),""))</f>
        <v/>
      </c>
      <c r="D23" s="7">
        <f>IF($A23="","",IFERROR(VLOOKUP($A23,'THÀNH VIÊN'!$A$3:$J$200,4,FALSE),""))</f>
        <v/>
      </c>
      <c r="E23" s="8" t="n"/>
      <c r="F23" s="8" t="n"/>
      <c r="G23" s="8" t="n"/>
      <c r="H23" s="8" t="n"/>
    </row>
    <row r="24">
      <c r="A24" s="8" t="n"/>
      <c r="B24" s="7">
        <f>IF($A24="","",IFERROR(VLOOKUP($A24,'THÀNH VIÊN'!$A$3:$J$200,3,FALSE),""))</f>
        <v/>
      </c>
      <c r="C24" s="7">
        <f>IF($A24="","",IFERROR(VLOOKUP($A24,'THÀNH VIÊN'!$A$3:$J$200,6,FALSE),""))</f>
        <v/>
      </c>
      <c r="D24" s="7">
        <f>IF($A24="","",IFERROR(VLOOKUP($A24,'THÀNH VIÊN'!$A$3:$J$200,4,FALSE),""))</f>
        <v/>
      </c>
      <c r="E24" s="8" t="n"/>
      <c r="F24" s="8" t="n"/>
      <c r="G24" s="8" t="n"/>
      <c r="H24" s="8" t="n"/>
    </row>
    <row r="25">
      <c r="A25" s="8" t="n"/>
      <c r="B25" s="7">
        <f>IF($A25="","",IFERROR(VLOOKUP($A25,'THÀNH VIÊN'!$A$3:$J$200,3,FALSE),""))</f>
        <v/>
      </c>
      <c r="C25" s="7">
        <f>IF($A25="","",IFERROR(VLOOKUP($A25,'THÀNH VIÊN'!$A$3:$J$200,6,FALSE),""))</f>
        <v/>
      </c>
      <c r="D25" s="7">
        <f>IF($A25="","",IFERROR(VLOOKUP($A25,'THÀNH VIÊN'!$A$3:$J$200,4,FALSE),""))</f>
        <v/>
      </c>
      <c r="E25" s="8" t="n"/>
      <c r="F25" s="8" t="n"/>
      <c r="G25" s="8" t="n"/>
      <c r="H25" s="8" t="n"/>
    </row>
    <row r="26">
      <c r="A26" s="8" t="n"/>
      <c r="B26" s="7">
        <f>IF($A26="","",IFERROR(VLOOKUP($A26,'THÀNH VIÊN'!$A$3:$J$200,3,FALSE),""))</f>
        <v/>
      </c>
      <c r="C26" s="7">
        <f>IF($A26="","",IFERROR(VLOOKUP($A26,'THÀNH VIÊN'!$A$3:$J$200,6,FALSE),""))</f>
        <v/>
      </c>
      <c r="D26" s="7">
        <f>IF($A26="","",IFERROR(VLOOKUP($A26,'THÀNH VIÊN'!$A$3:$J$200,4,FALSE),""))</f>
        <v/>
      </c>
      <c r="E26" s="8" t="n"/>
      <c r="F26" s="8" t="n"/>
      <c r="G26" s="8" t="n"/>
      <c r="H26" s="8" t="n"/>
    </row>
    <row r="27">
      <c r="A27" s="8" t="n"/>
      <c r="B27" s="7">
        <f>IF($A27="","",IFERROR(VLOOKUP($A27,'THÀNH VIÊN'!$A$3:$J$200,3,FALSE),""))</f>
        <v/>
      </c>
      <c r="C27" s="7">
        <f>IF($A27="","",IFERROR(VLOOKUP($A27,'THÀNH VIÊN'!$A$3:$J$200,6,FALSE),""))</f>
        <v/>
      </c>
      <c r="D27" s="7">
        <f>IF($A27="","",IFERROR(VLOOKUP($A27,'THÀNH VIÊN'!$A$3:$J$200,4,FALSE),""))</f>
        <v/>
      </c>
      <c r="E27" s="8" t="n"/>
      <c r="F27" s="8" t="n"/>
      <c r="G27" s="8" t="n"/>
      <c r="H27" s="8" t="n"/>
    </row>
    <row r="28">
      <c r="A28" s="8" t="n"/>
      <c r="B28" s="7">
        <f>IF($A28="","",IFERROR(VLOOKUP($A28,'THÀNH VIÊN'!$A$3:$J$200,3,FALSE),""))</f>
        <v/>
      </c>
      <c r="C28" s="7">
        <f>IF($A28="","",IFERROR(VLOOKUP($A28,'THÀNH VIÊN'!$A$3:$J$200,6,FALSE),""))</f>
        <v/>
      </c>
      <c r="D28" s="7">
        <f>IF($A28="","",IFERROR(VLOOKUP($A28,'THÀNH VIÊN'!$A$3:$J$200,4,FALSE),""))</f>
        <v/>
      </c>
      <c r="E28" s="8" t="n"/>
      <c r="F28" s="8" t="n"/>
      <c r="G28" s="8" t="n"/>
      <c r="H28" s="8" t="n"/>
    </row>
    <row r="29">
      <c r="A29" s="8" t="n"/>
      <c r="B29" s="7">
        <f>IF($A29="","",IFERROR(VLOOKUP($A29,'THÀNH VIÊN'!$A$3:$J$200,3,FALSE),""))</f>
        <v/>
      </c>
      <c r="C29" s="7">
        <f>IF($A29="","",IFERROR(VLOOKUP($A29,'THÀNH VIÊN'!$A$3:$J$200,6,FALSE),""))</f>
        <v/>
      </c>
      <c r="D29" s="7">
        <f>IF($A29="","",IFERROR(VLOOKUP($A29,'THÀNH VIÊN'!$A$3:$J$200,4,FALSE),""))</f>
        <v/>
      </c>
      <c r="E29" s="8" t="n"/>
      <c r="F29" s="8" t="n"/>
      <c r="G29" s="8" t="n"/>
      <c r="H29" s="8" t="n"/>
    </row>
    <row r="30">
      <c r="A30" s="8" t="n"/>
      <c r="B30" s="7">
        <f>IF($A30="","",IFERROR(VLOOKUP($A30,'THÀNH VIÊN'!$A$3:$J$200,3,FALSE),""))</f>
        <v/>
      </c>
      <c r="C30" s="7">
        <f>IF($A30="","",IFERROR(VLOOKUP($A30,'THÀNH VIÊN'!$A$3:$J$200,6,FALSE),""))</f>
        <v/>
      </c>
      <c r="D30" s="7">
        <f>IF($A30="","",IFERROR(VLOOKUP($A30,'THÀNH VIÊN'!$A$3:$J$200,4,FALSE),""))</f>
        <v/>
      </c>
      <c r="E30" s="8" t="n"/>
      <c r="F30" s="8" t="n"/>
      <c r="G30" s="8" t="n"/>
      <c r="H30" s="8" t="n"/>
    </row>
    <row r="31">
      <c r="A31" s="8" t="n"/>
      <c r="B31" s="7">
        <f>IF($A31="","",IFERROR(VLOOKUP($A31,'THÀNH VIÊN'!$A$3:$J$200,3,FALSE),""))</f>
        <v/>
      </c>
      <c r="C31" s="7">
        <f>IF($A31="","",IFERROR(VLOOKUP($A31,'THÀNH VIÊN'!$A$3:$J$200,6,FALSE),""))</f>
        <v/>
      </c>
      <c r="D31" s="7">
        <f>IF($A31="","",IFERROR(VLOOKUP($A31,'THÀNH VIÊN'!$A$3:$J$200,4,FALSE),""))</f>
        <v/>
      </c>
      <c r="E31" s="8" t="n"/>
      <c r="F31" s="8" t="n"/>
      <c r="G31" s="8" t="n"/>
      <c r="H31" s="8" t="n"/>
    </row>
    <row r="32">
      <c r="A32" s="8" t="n"/>
      <c r="B32" s="7">
        <f>IF($A32="","",IFERROR(VLOOKUP($A32,'THÀNH VIÊN'!$A$3:$J$200,3,FALSE),""))</f>
        <v/>
      </c>
      <c r="C32" s="7">
        <f>IF($A32="","",IFERROR(VLOOKUP($A32,'THÀNH VIÊN'!$A$3:$J$200,6,FALSE),""))</f>
        <v/>
      </c>
      <c r="D32" s="7">
        <f>IF($A32="","",IFERROR(VLOOKUP($A32,'THÀNH VIÊN'!$A$3:$J$200,4,FALSE),""))</f>
        <v/>
      </c>
      <c r="E32" s="8" t="n"/>
      <c r="F32" s="8" t="n"/>
      <c r="G32" s="8" t="n"/>
      <c r="H32" s="8" t="n"/>
    </row>
    <row r="33">
      <c r="A33" s="8" t="n"/>
      <c r="B33" s="7">
        <f>IF($A33="","",IFERROR(VLOOKUP($A33,'THÀNH VIÊN'!$A$3:$J$200,3,FALSE),""))</f>
        <v/>
      </c>
      <c r="C33" s="7">
        <f>IF($A33="","",IFERROR(VLOOKUP($A33,'THÀNH VIÊN'!$A$3:$J$200,6,FALSE),""))</f>
        <v/>
      </c>
      <c r="D33" s="7">
        <f>IF($A33="","",IFERROR(VLOOKUP($A33,'THÀNH VIÊN'!$A$3:$J$200,4,FALSE),""))</f>
        <v/>
      </c>
      <c r="E33" s="8" t="n"/>
      <c r="F33" s="8" t="n"/>
      <c r="G33" s="8" t="n"/>
      <c r="H33" s="8" t="n"/>
    </row>
    <row r="34">
      <c r="A34" s="8" t="n"/>
      <c r="B34" s="7">
        <f>IF($A34="","",IFERROR(VLOOKUP($A34,'THÀNH VIÊN'!$A$3:$J$200,3,FALSE),""))</f>
        <v/>
      </c>
      <c r="C34" s="7">
        <f>IF($A34="","",IFERROR(VLOOKUP($A34,'THÀNH VIÊN'!$A$3:$J$200,6,FALSE),""))</f>
        <v/>
      </c>
      <c r="D34" s="7">
        <f>IF($A34="","",IFERROR(VLOOKUP($A34,'THÀNH VIÊN'!$A$3:$J$200,4,FALSE),""))</f>
        <v/>
      </c>
      <c r="E34" s="8" t="n"/>
      <c r="F34" s="8" t="n"/>
      <c r="G34" s="8" t="n"/>
      <c r="H34" s="8" t="n"/>
    </row>
    <row r="35">
      <c r="A35" s="8" t="n"/>
      <c r="B35" s="7">
        <f>IF($A35="","",IFERROR(VLOOKUP($A35,'THÀNH VIÊN'!$A$3:$J$200,3,FALSE),""))</f>
        <v/>
      </c>
      <c r="C35" s="7">
        <f>IF($A35="","",IFERROR(VLOOKUP($A35,'THÀNH VIÊN'!$A$3:$J$200,6,FALSE),""))</f>
        <v/>
      </c>
      <c r="D35" s="7">
        <f>IF($A35="","",IFERROR(VLOOKUP($A35,'THÀNH VIÊN'!$A$3:$J$200,4,FALSE),""))</f>
        <v/>
      </c>
      <c r="E35" s="8" t="n"/>
      <c r="F35" s="8" t="n"/>
      <c r="G35" s="8" t="n"/>
      <c r="H35" s="8" t="n"/>
    </row>
    <row r="36">
      <c r="A36" s="8" t="n"/>
      <c r="B36" s="7">
        <f>IF($A36="","",IFERROR(VLOOKUP($A36,'THÀNH VIÊN'!$A$3:$J$200,3,FALSE),""))</f>
        <v/>
      </c>
      <c r="C36" s="7">
        <f>IF($A36="","",IFERROR(VLOOKUP($A36,'THÀNH VIÊN'!$A$3:$J$200,6,FALSE),""))</f>
        <v/>
      </c>
      <c r="D36" s="7">
        <f>IF($A36="","",IFERROR(VLOOKUP($A36,'THÀNH VIÊN'!$A$3:$J$200,4,FALSE),""))</f>
        <v/>
      </c>
      <c r="E36" s="8" t="n"/>
      <c r="F36" s="8" t="n"/>
      <c r="G36" s="8" t="n"/>
      <c r="H36" s="8" t="n"/>
    </row>
    <row r="37">
      <c r="A37" s="8" t="n"/>
      <c r="B37" s="7">
        <f>IF($A37="","",IFERROR(VLOOKUP($A37,'THÀNH VIÊN'!$A$3:$J$200,3,FALSE),""))</f>
        <v/>
      </c>
      <c r="C37" s="7">
        <f>IF($A37="","",IFERROR(VLOOKUP($A37,'THÀNH VIÊN'!$A$3:$J$200,6,FALSE),""))</f>
        <v/>
      </c>
      <c r="D37" s="7">
        <f>IF($A37="","",IFERROR(VLOOKUP($A37,'THÀNH VIÊN'!$A$3:$J$200,4,FALSE),""))</f>
        <v/>
      </c>
      <c r="E37" s="8" t="n"/>
      <c r="F37" s="8" t="n"/>
      <c r="G37" s="8" t="n"/>
      <c r="H37" s="8" t="n"/>
    </row>
    <row r="38">
      <c r="A38" s="8" t="n"/>
      <c r="B38" s="7">
        <f>IF($A38="","",IFERROR(VLOOKUP($A38,'THÀNH VIÊN'!$A$3:$J$200,3,FALSE),""))</f>
        <v/>
      </c>
      <c r="C38" s="7">
        <f>IF($A38="","",IFERROR(VLOOKUP($A38,'THÀNH VIÊN'!$A$3:$J$200,6,FALSE),""))</f>
        <v/>
      </c>
      <c r="D38" s="7">
        <f>IF($A38="","",IFERROR(VLOOKUP($A38,'THÀNH VIÊN'!$A$3:$J$200,4,FALSE),""))</f>
        <v/>
      </c>
      <c r="E38" s="8" t="n"/>
      <c r="F38" s="8" t="n"/>
      <c r="G38" s="8" t="n"/>
      <c r="H38" s="8" t="n"/>
    </row>
    <row r="39">
      <c r="A39" s="8" t="n"/>
      <c r="B39" s="7">
        <f>IF($A39="","",IFERROR(VLOOKUP($A39,'THÀNH VIÊN'!$A$3:$J$200,3,FALSE),""))</f>
        <v/>
      </c>
      <c r="C39" s="7">
        <f>IF($A39="","",IFERROR(VLOOKUP($A39,'THÀNH VIÊN'!$A$3:$J$200,6,FALSE),""))</f>
        <v/>
      </c>
      <c r="D39" s="7">
        <f>IF($A39="","",IFERROR(VLOOKUP($A39,'THÀNH VIÊN'!$A$3:$J$200,4,FALSE),""))</f>
        <v/>
      </c>
      <c r="E39" s="8" t="n"/>
      <c r="F39" s="8" t="n"/>
      <c r="G39" s="8" t="n"/>
      <c r="H39" s="8" t="n"/>
    </row>
    <row r="40">
      <c r="A40" s="8" t="n"/>
      <c r="B40" s="7">
        <f>IF($A40="","",IFERROR(VLOOKUP($A40,'THÀNH VIÊN'!$A$3:$J$200,3,FALSE),""))</f>
        <v/>
      </c>
      <c r="C40" s="7">
        <f>IF($A40="","",IFERROR(VLOOKUP($A40,'THÀNH VIÊN'!$A$3:$J$200,6,FALSE),""))</f>
        <v/>
      </c>
      <c r="D40" s="7">
        <f>IF($A40="","",IFERROR(VLOOKUP($A40,'THÀNH VIÊN'!$A$3:$J$200,4,FALSE),""))</f>
        <v/>
      </c>
      <c r="E40" s="8" t="n"/>
      <c r="F40" s="8" t="n"/>
      <c r="G40" s="8" t="n"/>
      <c r="H40" s="8" t="n"/>
    </row>
    <row r="41">
      <c r="A41" s="8" t="n"/>
      <c r="B41" s="7">
        <f>IF($A41="","",IFERROR(VLOOKUP($A41,'THÀNH VIÊN'!$A$3:$J$200,3,FALSE),""))</f>
        <v/>
      </c>
      <c r="C41" s="7">
        <f>IF($A41="","",IFERROR(VLOOKUP($A41,'THÀNH VIÊN'!$A$3:$J$200,6,FALSE),""))</f>
        <v/>
      </c>
      <c r="D41" s="7">
        <f>IF($A41="","",IFERROR(VLOOKUP($A41,'THÀNH VIÊN'!$A$3:$J$200,4,FALSE),""))</f>
        <v/>
      </c>
      <c r="E41" s="8" t="n"/>
      <c r="F41" s="8" t="n"/>
      <c r="G41" s="8" t="n"/>
      <c r="H41" s="8" t="n"/>
    </row>
    <row r="42">
      <c r="A42" s="8" t="n"/>
      <c r="B42" s="7">
        <f>IF($A42="","",IFERROR(VLOOKUP($A42,'THÀNH VIÊN'!$A$3:$J$200,3,FALSE),""))</f>
        <v/>
      </c>
      <c r="C42" s="7">
        <f>IF($A42="","",IFERROR(VLOOKUP($A42,'THÀNH VIÊN'!$A$3:$J$200,6,FALSE),""))</f>
        <v/>
      </c>
      <c r="D42" s="7">
        <f>IF($A42="","",IFERROR(VLOOKUP($A42,'THÀNH VIÊN'!$A$3:$J$200,4,FALSE),""))</f>
        <v/>
      </c>
      <c r="E42" s="8" t="n"/>
      <c r="F42" s="8" t="n"/>
      <c r="G42" s="8" t="n"/>
      <c r="H42" s="8" t="n"/>
    </row>
    <row r="45">
      <c r="A45" s="4" t="inlineStr">
        <is>
          <t>TỔNG HỢP</t>
        </is>
      </c>
    </row>
    <row r="46">
      <c r="A46" s="19" t="inlineStr">
        <is>
          <t>Đồng đội 3</t>
        </is>
      </c>
      <c r="B46" s="7">
        <f>COUNTIF($E$3:$E$42,"Đồng đội 3")</f>
        <v/>
      </c>
      <c r="D46" s="19" t="inlineStr">
        <is>
          <t>SKJ 01</t>
        </is>
      </c>
      <c r="E46" s="7">
        <f>COUNTIF($F$3:$F$42,"SKJ 01")</f>
        <v/>
      </c>
    </row>
    <row r="47">
      <c r="A47" s="19" t="inlineStr">
        <is>
          <t>Đồng đội 5</t>
        </is>
      </c>
      <c r="B47" s="7">
        <f>COUNTIF($E$3:$E$42,"Đồng đội 5")</f>
        <v/>
      </c>
      <c r="D47" s="19" t="inlineStr">
        <is>
          <t>SKJ 02</t>
        </is>
      </c>
      <c r="E47" s="7">
        <f>COUNTIF($F$3:$F$42,"SKJ 02")</f>
        <v/>
      </c>
    </row>
    <row r="48">
      <c r="D48" s="19" t="inlineStr">
        <is>
          <t>SKJ 03</t>
        </is>
      </c>
      <c r="E48" s="7">
        <f>COUNTIF($F$3:$F$42,"SKJ 03")</f>
        <v/>
      </c>
    </row>
    <row r="49">
      <c r="D49" s="19" t="inlineStr">
        <is>
          <t>SKJ 04</t>
        </is>
      </c>
      <c r="E49" s="7">
        <f>COUNTIF($F$3:$F$42,"SKJ 04")</f>
        <v/>
      </c>
    </row>
    <row r="50">
      <c r="D50" s="19" t="inlineStr">
        <is>
          <t>SKJ 05</t>
        </is>
      </c>
      <c r="E50" s="7">
        <f>COUNTIF($F$3:$F$42,"SKJ 05")</f>
        <v/>
      </c>
    </row>
    <row r="51">
      <c r="D51" s="19" t="inlineStr">
        <is>
          <t>SKJ 06</t>
        </is>
      </c>
      <c r="E51" s="7">
        <f>COUNTIF($F$3:$F$42,"SKJ 06")</f>
        <v/>
      </c>
    </row>
  </sheetData>
  <mergeCells count="2">
    <mergeCell ref="A45:H45"/>
    <mergeCell ref="A1:H1"/>
  </mergeCells>
  <dataValidations count="4">
    <dataValidation sqref="A3:A42" showDropDown="0" showInputMessage="0" showErrorMessage="0" allowBlank="1" type="list">
      <formula1>'THÀNH VIÊN'!$A$3:$A$200</formula1>
    </dataValidation>
    <dataValidation sqref="E3:E42" showDropDown="0" showInputMessage="0" showErrorMessage="0" allowBlank="1" type="list">
      <formula1>"Đồng đội 3,Đồng đội 5"</formula1>
    </dataValidation>
    <dataValidation sqref="F3:F42" showDropDown="0" showInputMessage="0" showErrorMessage="0" allowBlank="1" type="list">
      <formula1>'CẤU HÌNH'!$A$78:$A$83</formula1>
    </dataValidation>
    <dataValidation sqref="G3:G42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6" customWidth="1" min="4" max="4"/>
    <col width="14" customWidth="1" min="5" max="5"/>
    <col width="24" customWidth="1" min="6" max="6"/>
    <col width="24" customWidth="1" min="7" max="7"/>
    <col width="10" customWidth="1" min="8" max="8"/>
    <col width="16" customWidth="1" min="9" max="9"/>
    <col width="16" customWidth="1" min="10" max="10"/>
    <col width="18" customWidth="1" min="11" max="11"/>
    <col width="18" customWidth="1" min="12" max="12"/>
    <col width="26" customWidth="1" min="13" max="13"/>
    <col width="16" customWidth="1" min="14" max="14"/>
    <col width="12" customWidth="1" min="15" max="15"/>
    <col width="16" customWidth="1" min="16" max="16"/>
    <col width="14" customWidth="1" min="17" max="17"/>
    <col width="14" customWidth="1" min="18" max="18"/>
    <col width="30" customWidth="1" min="19" max="19"/>
  </cols>
  <sheetData>
    <row r="1" ht="24" customHeight="1">
      <c r="A1" s="1" t="inlineStr">
        <is>
          <t>🔒 Provider — danh mục nhà cung cấp theo scope (admin cập nhật; thành viên chọn mã ở tab ĐĂNG KÝ)</t>
        </is>
      </c>
    </row>
    <row r="3">
      <c r="A3" s="4" t="inlineStr">
        <is>
          <t>VÉ MÁY BAY (FL)   ·   mã FL-###</t>
        </is>
      </c>
    </row>
    <row r="4" ht="34" customHeight="1">
      <c r="A4" s="9" t="inlineStr">
        <is>
          <t>Mã</t>
        </is>
      </c>
      <c r="B4" s="9" t="inlineStr">
        <is>
          <t>Scope</t>
        </is>
      </c>
      <c r="C4" s="9" t="inlineStr">
        <is>
          <t>Nhà cung cấp</t>
        </is>
      </c>
      <c r="D4" s="9" t="inlineStr">
        <is>
          <t>Liên hệ</t>
        </is>
      </c>
      <c r="E4" s="9" t="inlineStr">
        <is>
          <t>SĐT</t>
        </is>
      </c>
      <c r="F4" s="9" t="inlineStr">
        <is>
          <t>Email</t>
        </is>
      </c>
      <c r="G4" s="9" t="inlineStr">
        <is>
          <t>Tuyến / Chặng</t>
        </is>
      </c>
      <c r="H4" s="9" t="inlineStr">
        <is>
          <t>Chiều</t>
        </is>
      </c>
      <c r="I4" s="9" t="inlineStr">
        <is>
          <t>Hãng / ĐV</t>
        </is>
      </c>
      <c r="J4" s="9" t="inlineStr">
        <is>
          <t>Ngày giờ</t>
        </is>
      </c>
      <c r="K4" s="9" t="inlineStr">
        <is>
          <t>Điểm đi</t>
        </is>
      </c>
      <c r="L4" s="9" t="inlineStr">
        <is>
          <t>Điểm đến</t>
        </is>
      </c>
      <c r="M4" s="9" t="inlineStr">
        <is>
          <t>Điều kiện</t>
        </is>
      </c>
      <c r="N4" s="9" t="inlineStr">
        <is>
          <t>Đơn giá/người</t>
        </is>
      </c>
      <c r="O4" s="9" t="inlineStr">
        <is>
          <t>Phí DV</t>
        </is>
      </c>
      <c r="P4" s="9" t="inlineStr">
        <is>
          <t>Tổng/người</t>
        </is>
      </c>
      <c r="Q4" s="9" t="inlineStr">
        <is>
          <t>Hiệu lực đến</t>
        </is>
      </c>
      <c r="R4" s="9" t="inlineStr">
        <is>
          <t>Trạng thái</t>
        </is>
      </c>
      <c r="S4" s="9" t="inlineStr">
        <is>
          <t>Ghi chú</t>
        </is>
      </c>
    </row>
    <row r="5">
      <c r="A5" s="20" t="inlineStr">
        <is>
          <t>FL-001</t>
        </is>
      </c>
      <c r="B5" s="7" t="inlineStr">
        <is>
          <t>Vé máy bay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13" t="n"/>
      <c r="O5" s="13" t="n"/>
      <c r="P5" s="21">
        <f>IF($N5="","",$N5+IF($O5="",0,$O5))</f>
        <v/>
      </c>
      <c r="Q5" s="22" t="n"/>
      <c r="R5" s="8" t="inlineStr">
        <is>
          <t>Còn hiệu lực</t>
        </is>
      </c>
      <c r="S5" s="8" t="inlineStr"/>
    </row>
    <row r="6">
      <c r="A6" s="20" t="inlineStr">
        <is>
          <t>FL-002</t>
        </is>
      </c>
      <c r="B6" s="7" t="inlineStr">
        <is>
          <t>Vé máy bay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13" t="n"/>
      <c r="O6" s="13" t="n"/>
      <c r="P6" s="21">
        <f>IF($N6="","",$N6+IF($O6="",0,$O6))</f>
        <v/>
      </c>
      <c r="Q6" s="22" t="n"/>
      <c r="R6" s="8" t="inlineStr">
        <is>
          <t>Còn hiệu lực</t>
        </is>
      </c>
      <c r="S6" s="8" t="inlineStr"/>
    </row>
    <row r="7">
      <c r="A7" s="20" t="inlineStr">
        <is>
          <t>FL-003</t>
        </is>
      </c>
      <c r="B7" s="7" t="inlineStr">
        <is>
          <t>Vé máy bay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13" t="n"/>
      <c r="O7" s="13" t="n"/>
      <c r="P7" s="21">
        <f>IF($N7="","",$N7+IF($O7="",0,$O7))</f>
        <v/>
      </c>
      <c r="Q7" s="22" t="n"/>
      <c r="R7" s="8" t="inlineStr">
        <is>
          <t>Còn hiệu lực</t>
        </is>
      </c>
      <c r="S7" s="8" t="inlineStr"/>
    </row>
    <row r="8">
      <c r="A8" s="20" t="inlineStr">
        <is>
          <t>FL-004</t>
        </is>
      </c>
      <c r="B8" s="7" t="inlineStr">
        <is>
          <t>Vé máy bay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13" t="n"/>
      <c r="O8" s="13" t="n"/>
      <c r="P8" s="21">
        <f>IF($N8="","",$N8+IF($O8="",0,$O8))</f>
        <v/>
      </c>
      <c r="Q8" s="22" t="n"/>
      <c r="R8" s="8" t="inlineStr">
        <is>
          <t>Còn hiệu lực</t>
        </is>
      </c>
      <c r="S8" s="8" t="inlineStr"/>
    </row>
    <row r="9">
      <c r="A9" s="20" t="inlineStr">
        <is>
          <t>FL-005</t>
        </is>
      </c>
      <c r="B9" s="7" t="inlineStr">
        <is>
          <t>Vé máy bay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13" t="n"/>
      <c r="O9" s="13" t="n"/>
      <c r="P9" s="21">
        <f>IF($N9="","",$N9+IF($O9="",0,$O9))</f>
        <v/>
      </c>
      <c r="Q9" s="22" t="n"/>
      <c r="R9" s="8" t="inlineStr">
        <is>
          <t>Còn hiệu lực</t>
        </is>
      </c>
      <c r="S9" s="8" t="inlineStr"/>
    </row>
    <row r="10">
      <c r="A10" s="20" t="inlineStr">
        <is>
          <t>FL-006</t>
        </is>
      </c>
      <c r="B10" s="7" t="inlineStr">
        <is>
          <t>Vé máy bay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13" t="n"/>
      <c r="O10" s="13" t="n"/>
      <c r="P10" s="21">
        <f>IF($N10="","",$N10+IF($O10="",0,$O10))</f>
        <v/>
      </c>
      <c r="Q10" s="22" t="n"/>
      <c r="R10" s="8" t="inlineStr">
        <is>
          <t>Còn hiệu lực</t>
        </is>
      </c>
      <c r="S10" s="8" t="inlineStr"/>
    </row>
    <row r="11">
      <c r="A11" s="20" t="inlineStr">
        <is>
          <t>FL-007</t>
        </is>
      </c>
      <c r="B11" s="7" t="inlineStr">
        <is>
          <t>Vé máy bay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13" t="n"/>
      <c r="O11" s="13" t="n"/>
      <c r="P11" s="21">
        <f>IF($N11="","",$N11+IF($O11="",0,$O11))</f>
        <v/>
      </c>
      <c r="Q11" s="22" t="n"/>
      <c r="R11" s="8" t="inlineStr">
        <is>
          <t>Còn hiệu lực</t>
        </is>
      </c>
      <c r="S11" s="8" t="inlineStr"/>
    </row>
    <row r="12">
      <c r="A12" s="20" t="inlineStr">
        <is>
          <t>FL-008</t>
        </is>
      </c>
      <c r="B12" s="7" t="inlineStr">
        <is>
          <t>Vé máy bay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13" t="n"/>
      <c r="O12" s="13" t="n"/>
      <c r="P12" s="21">
        <f>IF($N12="","",$N12+IF($O12="",0,$O12))</f>
        <v/>
      </c>
      <c r="Q12" s="22" t="n"/>
      <c r="R12" s="8" t="inlineStr">
        <is>
          <t>Còn hiệu lực</t>
        </is>
      </c>
      <c r="S12" s="8" t="inlineStr"/>
    </row>
    <row r="13">
      <c r="A13" s="20" t="inlineStr">
        <is>
          <t>FL-009</t>
        </is>
      </c>
      <c r="B13" s="7" t="inlineStr">
        <is>
          <t>Vé máy bay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13" t="n"/>
      <c r="O13" s="13" t="n"/>
      <c r="P13" s="21">
        <f>IF($N13="","",$N13+IF($O13="",0,$O13))</f>
        <v/>
      </c>
      <c r="Q13" s="22" t="n"/>
      <c r="R13" s="8" t="inlineStr">
        <is>
          <t>Còn hiệu lực</t>
        </is>
      </c>
      <c r="S13" s="8" t="inlineStr"/>
    </row>
    <row r="14">
      <c r="A14" s="20" t="inlineStr">
        <is>
          <t>FL-010</t>
        </is>
      </c>
      <c r="B14" s="7" t="inlineStr">
        <is>
          <t>Vé máy bay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13" t="n"/>
      <c r="O14" s="13" t="n"/>
      <c r="P14" s="21">
        <f>IF($N14="","",$N14+IF($O14="",0,$O14))</f>
        <v/>
      </c>
      <c r="Q14" s="22" t="n"/>
      <c r="R14" s="8" t="inlineStr">
        <is>
          <t>Còn hiệu lực</t>
        </is>
      </c>
      <c r="S14" s="8" t="inlineStr"/>
    </row>
    <row r="16">
      <c r="A16" s="4" t="inlineStr">
        <is>
          <t>XE / DI CHUYỂN (BUS)   ·   mã BUS-###</t>
        </is>
      </c>
    </row>
    <row r="17" ht="34" customHeight="1">
      <c r="A17" s="9" t="inlineStr">
        <is>
          <t>Mã</t>
        </is>
      </c>
      <c r="B17" s="9" t="inlineStr">
        <is>
          <t>Scope</t>
        </is>
      </c>
      <c r="C17" s="9" t="inlineStr">
        <is>
          <t>Nhà cung cấp</t>
        </is>
      </c>
      <c r="D17" s="9" t="inlineStr">
        <is>
          <t>Liên hệ</t>
        </is>
      </c>
      <c r="E17" s="9" t="inlineStr">
        <is>
          <t>SĐT</t>
        </is>
      </c>
      <c r="F17" s="9" t="inlineStr">
        <is>
          <t>Email</t>
        </is>
      </c>
      <c r="G17" s="9" t="inlineStr">
        <is>
          <t>Tuyến / Chặng</t>
        </is>
      </c>
      <c r="H17" s="9" t="inlineStr">
        <is>
          <t>Chiều</t>
        </is>
      </c>
      <c r="I17" s="9" t="inlineStr">
        <is>
          <t>Hãng / ĐV</t>
        </is>
      </c>
      <c r="J17" s="9" t="inlineStr">
        <is>
          <t>Ngày giờ</t>
        </is>
      </c>
      <c r="K17" s="9" t="inlineStr">
        <is>
          <t>Điểm đi</t>
        </is>
      </c>
      <c r="L17" s="9" t="inlineStr">
        <is>
          <t>Điểm đến</t>
        </is>
      </c>
      <c r="M17" s="9" t="inlineStr">
        <is>
          <t>Điều kiện</t>
        </is>
      </c>
      <c r="N17" s="9" t="inlineStr">
        <is>
          <t>Đơn giá/người</t>
        </is>
      </c>
      <c r="O17" s="9" t="inlineStr">
        <is>
          <t>Phí DV</t>
        </is>
      </c>
      <c r="P17" s="9" t="inlineStr">
        <is>
          <t>Tổng/người</t>
        </is>
      </c>
      <c r="Q17" s="9" t="inlineStr">
        <is>
          <t>Hiệu lực đến</t>
        </is>
      </c>
      <c r="R17" s="9" t="inlineStr">
        <is>
          <t>Trạng thái</t>
        </is>
      </c>
      <c r="S17" s="9" t="inlineStr">
        <is>
          <t>Ghi chú</t>
        </is>
      </c>
    </row>
    <row r="18">
      <c r="A18" s="20" t="inlineStr">
        <is>
          <t>BUS-001</t>
        </is>
      </c>
      <c r="B18" s="7" t="inlineStr">
        <is>
          <t>Xe</t>
        </is>
      </c>
      <c r="C18" s="8" t="inlineStr">
        <is>
          <t>Noi Bai taxi</t>
        </is>
      </c>
      <c r="D18" s="8" t="inlineStr"/>
      <c r="E18" s="8" t="inlineStr">
        <is>
          <t>0888.100.100</t>
        </is>
      </c>
      <c r="F18" s="8" t="inlineStr"/>
      <c r="G18" s="8" t="inlineStr">
        <is>
          <t>Nội Bài ↔ Tam Chúc</t>
        </is>
      </c>
      <c r="H18" s="8" t="inlineStr"/>
      <c r="I18" s="8" t="inlineStr"/>
      <c r="J18" s="8" t="inlineStr"/>
      <c r="K18" s="8" t="inlineStr">
        <is>
          <t>Hà Nội</t>
        </is>
      </c>
      <c r="L18" s="8" t="inlineStr">
        <is>
          <t>Tam Chúc</t>
        </is>
      </c>
      <c r="M18" s="8" t="inlineStr"/>
      <c r="N18" s="13" t="n">
        <v>750000</v>
      </c>
      <c r="O18" s="13" t="n"/>
      <c r="P18" s="21">
        <f>IF($N18="","",$N18+IF($O18="",0,$O18))</f>
        <v/>
      </c>
      <c r="Q18" s="22" t="n"/>
      <c r="R18" s="8" t="inlineStr">
        <is>
          <t>Còn hiệu lực</t>
        </is>
      </c>
      <c r="S18" s="8" t="inlineStr">
        <is>
          <t>3–4 người gồm hành lý · 2–2.5 giờ</t>
        </is>
      </c>
    </row>
    <row r="19">
      <c r="A19" s="20" t="inlineStr">
        <is>
          <t>BUS-002</t>
        </is>
      </c>
      <c r="B19" s="7" t="inlineStr">
        <is>
          <t>Xe</t>
        </is>
      </c>
      <c r="C19" s="8" t="inlineStr">
        <is>
          <t>Bus 16 chỗ</t>
        </is>
      </c>
      <c r="D19" s="8" t="inlineStr"/>
      <c r="E19" s="8" t="inlineStr">
        <is>
          <t>0904409090</t>
        </is>
      </c>
      <c r="F19" s="8" t="inlineStr"/>
      <c r="G19" s="8" t="inlineStr">
        <is>
          <t>Nội Bài ↔ Tam Chúc</t>
        </is>
      </c>
      <c r="H19" s="8" t="inlineStr"/>
      <c r="I19" s="8" t="inlineStr"/>
      <c r="J19" s="8" t="inlineStr"/>
      <c r="K19" s="8" t="inlineStr">
        <is>
          <t>Hà Nội</t>
        </is>
      </c>
      <c r="L19" s="8" t="inlineStr">
        <is>
          <t>Tam Chúc</t>
        </is>
      </c>
      <c r="M19" s="8" t="inlineStr"/>
      <c r="N19" s="13" t="n">
        <v>1800000</v>
      </c>
      <c r="O19" s="13" t="n"/>
      <c r="P19" s="21">
        <f>IF($N19="","",$N19+IF($O19="",0,$O19))</f>
        <v/>
      </c>
      <c r="Q19" s="22" t="n"/>
      <c r="R19" s="8" t="inlineStr">
        <is>
          <t>Còn hiệu lực</t>
        </is>
      </c>
      <c r="S19" s="8" t="inlineStr">
        <is>
          <t>tối đa 9 người kèm hành lý</t>
        </is>
      </c>
    </row>
    <row r="20">
      <c r="A20" s="20" t="inlineStr">
        <is>
          <t>BUS-003</t>
        </is>
      </c>
      <c r="B20" s="7" t="inlineStr">
        <is>
          <t>Xe</t>
        </is>
      </c>
      <c r="C20" s="8" t="inlineStr">
        <is>
          <t>Bus 29 chỗ</t>
        </is>
      </c>
      <c r="D20" s="8" t="inlineStr"/>
      <c r="E20" s="8" t="inlineStr">
        <is>
          <t>0904409090</t>
        </is>
      </c>
      <c r="F20" s="8" t="inlineStr"/>
      <c r="G20" s="8" t="inlineStr">
        <is>
          <t>Nội Bài ↔ Tam Chúc</t>
        </is>
      </c>
      <c r="H20" s="8" t="inlineStr"/>
      <c r="I20" s="8" t="inlineStr"/>
      <c r="J20" s="8" t="inlineStr"/>
      <c r="K20" s="8" t="inlineStr">
        <is>
          <t>Hà Nội</t>
        </is>
      </c>
      <c r="L20" s="8" t="inlineStr">
        <is>
          <t>Tam Chúc</t>
        </is>
      </c>
      <c r="M20" s="8" t="inlineStr"/>
      <c r="N20" s="13" t="n">
        <v>2300000</v>
      </c>
      <c r="O20" s="13" t="n"/>
      <c r="P20" s="21">
        <f>IF($N20="","",$N20+IF($O20="",0,$O20))</f>
        <v/>
      </c>
      <c r="Q20" s="22" t="n"/>
      <c r="R20" s="8" t="inlineStr">
        <is>
          <t>Còn hiệu lực</t>
        </is>
      </c>
      <c r="S20" s="8" t="inlineStr">
        <is>
          <t>có khoang hành lý riêng</t>
        </is>
      </c>
    </row>
    <row r="21">
      <c r="A21" s="20" t="inlineStr">
        <is>
          <t>BUS-004</t>
        </is>
      </c>
      <c r="B21" s="7" t="inlineStr">
        <is>
          <t>Xe</t>
        </is>
      </c>
      <c r="C21" s="8" t="inlineStr">
        <is>
          <t>Bus 35 chỗ</t>
        </is>
      </c>
      <c r="D21" s="8" t="inlineStr"/>
      <c r="E21" s="8" t="inlineStr">
        <is>
          <t>0904409090</t>
        </is>
      </c>
      <c r="F21" s="8" t="inlineStr"/>
      <c r="G21" s="8" t="inlineStr">
        <is>
          <t>Nội Bài ↔ Tam Chúc</t>
        </is>
      </c>
      <c r="H21" s="8" t="inlineStr"/>
      <c r="I21" s="8" t="inlineStr"/>
      <c r="J21" s="8" t="inlineStr"/>
      <c r="K21" s="8" t="inlineStr">
        <is>
          <t>Hà Nội</t>
        </is>
      </c>
      <c r="L21" s="8" t="inlineStr">
        <is>
          <t>Tam Chúc</t>
        </is>
      </c>
      <c r="M21" s="8" t="inlineStr"/>
      <c r="N21" s="13" t="n">
        <v>2800000</v>
      </c>
      <c r="O21" s="13" t="n"/>
      <c r="P21" s="21">
        <f>IF($N21="","",$N21+IF($O21="",0,$O21))</f>
        <v/>
      </c>
      <c r="Q21" s="22" t="n"/>
      <c r="R21" s="8" t="inlineStr">
        <is>
          <t>Còn hiệu lực</t>
        </is>
      </c>
      <c r="S21" s="8" t="inlineStr"/>
    </row>
    <row r="22">
      <c r="A22" s="20" t="inlineStr">
        <is>
          <t>BUS-005</t>
        </is>
      </c>
      <c r="B22" s="7" t="inlineStr">
        <is>
          <t>Xe</t>
        </is>
      </c>
      <c r="C22" s="8" t="inlineStr">
        <is>
          <t>Bus 45 chỗ</t>
        </is>
      </c>
      <c r="D22" s="8" t="inlineStr"/>
      <c r="E22" s="8" t="inlineStr">
        <is>
          <t>0904409090</t>
        </is>
      </c>
      <c r="F22" s="8" t="inlineStr"/>
      <c r="G22" s="8" t="inlineStr">
        <is>
          <t>Nội Bài ↔ Tam Chúc</t>
        </is>
      </c>
      <c r="H22" s="8" t="inlineStr"/>
      <c r="I22" s="8" t="inlineStr"/>
      <c r="J22" s="8" t="inlineStr"/>
      <c r="K22" s="8" t="inlineStr">
        <is>
          <t>Hà Nội</t>
        </is>
      </c>
      <c r="L22" s="8" t="inlineStr">
        <is>
          <t>Tam Chúc</t>
        </is>
      </c>
      <c r="M22" s="8" t="inlineStr"/>
      <c r="N22" s="13" t="n">
        <v>3500000</v>
      </c>
      <c r="O22" s="13" t="n"/>
      <c r="P22" s="21">
        <f>IF($N22="","",$N22+IF($O22="",0,$O22))</f>
        <v/>
      </c>
      <c r="Q22" s="22" t="n"/>
      <c r="R22" s="8" t="inlineStr">
        <is>
          <t>Còn hiệu lực</t>
        </is>
      </c>
      <c r="S22" s="8" t="inlineStr"/>
    </row>
    <row r="23">
      <c r="A23" s="20" t="inlineStr">
        <is>
          <t>BUS-006</t>
        </is>
      </c>
      <c r="B23" s="7" t="inlineStr">
        <is>
          <t>Xe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13" t="n"/>
      <c r="O23" s="13" t="n"/>
      <c r="P23" s="21">
        <f>IF($N23="","",$N23+IF($O23="",0,$O23))</f>
        <v/>
      </c>
      <c r="Q23" s="22" t="n"/>
      <c r="R23" s="8" t="inlineStr">
        <is>
          <t>Còn hiệu lực</t>
        </is>
      </c>
      <c r="S23" s="8" t="inlineStr"/>
    </row>
    <row r="24">
      <c r="A24" s="20" t="inlineStr">
        <is>
          <t>BUS-007</t>
        </is>
      </c>
      <c r="B24" s="7" t="inlineStr">
        <is>
          <t>Xe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13" t="n"/>
      <c r="O24" s="13" t="n"/>
      <c r="P24" s="21">
        <f>IF($N24="","",$N24+IF($O24="",0,$O24))</f>
        <v/>
      </c>
      <c r="Q24" s="22" t="n"/>
      <c r="R24" s="8" t="inlineStr">
        <is>
          <t>Còn hiệu lực</t>
        </is>
      </c>
      <c r="S24" s="8" t="inlineStr"/>
    </row>
    <row r="25">
      <c r="A25" s="20" t="inlineStr">
        <is>
          <t>BUS-008</t>
        </is>
      </c>
      <c r="B25" s="7" t="inlineStr">
        <is>
          <t>Xe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13" t="n"/>
      <c r="O25" s="13" t="n"/>
      <c r="P25" s="21">
        <f>IF($N25="","",$N25+IF($O25="",0,$O25))</f>
        <v/>
      </c>
      <c r="Q25" s="22" t="n"/>
      <c r="R25" s="8" t="inlineStr">
        <is>
          <t>Còn hiệu lực</t>
        </is>
      </c>
      <c r="S25" s="8" t="inlineStr"/>
    </row>
    <row r="26">
      <c r="A26" s="20" t="inlineStr">
        <is>
          <t>BUS-009</t>
        </is>
      </c>
      <c r="B26" s="7" t="inlineStr">
        <is>
          <t>Xe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13" t="n"/>
      <c r="O26" s="13" t="n"/>
      <c r="P26" s="21">
        <f>IF($N26="","",$N26+IF($O26="",0,$O26))</f>
        <v/>
      </c>
      <c r="Q26" s="22" t="n"/>
      <c r="R26" s="8" t="inlineStr">
        <is>
          <t>Còn hiệu lực</t>
        </is>
      </c>
      <c r="S26" s="8" t="inlineStr"/>
    </row>
    <row r="27">
      <c r="A27" s="20" t="inlineStr">
        <is>
          <t>BUS-010</t>
        </is>
      </c>
      <c r="B27" s="7" t="inlineStr">
        <is>
          <t>Xe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13" t="n"/>
      <c r="O27" s="13" t="n"/>
      <c r="P27" s="21">
        <f>IF($N27="","",$N27+IF($O27="",0,$O27))</f>
        <v/>
      </c>
      <c r="Q27" s="22" t="n"/>
      <c r="R27" s="8" t="inlineStr">
        <is>
          <t>Còn hiệu lực</t>
        </is>
      </c>
      <c r="S27" s="8" t="inlineStr"/>
    </row>
    <row r="29">
      <c r="A29" s="4" t="inlineStr">
        <is>
          <t>KHÁCH SẠN HÀ NỘI (HTL)   ·   mã HTL-###</t>
        </is>
      </c>
    </row>
    <row r="30" ht="34" customHeight="1">
      <c r="A30" s="9" t="inlineStr">
        <is>
          <t>Mã</t>
        </is>
      </c>
      <c r="B30" s="9" t="inlineStr">
        <is>
          <t>Scope</t>
        </is>
      </c>
      <c r="C30" s="9" t="inlineStr">
        <is>
          <t>Nhà cung cấp</t>
        </is>
      </c>
      <c r="D30" s="9" t="inlineStr">
        <is>
          <t>Liên hệ</t>
        </is>
      </c>
      <c r="E30" s="9" t="inlineStr">
        <is>
          <t>SĐT</t>
        </is>
      </c>
      <c r="F30" s="9" t="inlineStr">
        <is>
          <t>Email</t>
        </is>
      </c>
      <c r="G30" s="9" t="inlineStr">
        <is>
          <t>Tuyến / Chặng</t>
        </is>
      </c>
      <c r="H30" s="9" t="inlineStr">
        <is>
          <t>Chiều</t>
        </is>
      </c>
      <c r="I30" s="9" t="inlineStr">
        <is>
          <t>Hãng / ĐV</t>
        </is>
      </c>
      <c r="J30" s="9" t="inlineStr">
        <is>
          <t>Ngày giờ</t>
        </is>
      </c>
      <c r="K30" s="9" t="inlineStr">
        <is>
          <t>Điểm đi</t>
        </is>
      </c>
      <c r="L30" s="9" t="inlineStr">
        <is>
          <t>Điểm đến</t>
        </is>
      </c>
      <c r="M30" s="9" t="inlineStr">
        <is>
          <t>Điều kiện</t>
        </is>
      </c>
      <c r="N30" s="9" t="inlineStr">
        <is>
          <t>Đơn giá/người</t>
        </is>
      </c>
      <c r="O30" s="9" t="inlineStr">
        <is>
          <t>Phí DV</t>
        </is>
      </c>
      <c r="P30" s="9" t="inlineStr">
        <is>
          <t>Tổng/người</t>
        </is>
      </c>
      <c r="Q30" s="9" t="inlineStr">
        <is>
          <t>Hiệu lực đến</t>
        </is>
      </c>
      <c r="R30" s="9" t="inlineStr">
        <is>
          <t>Trạng thái</t>
        </is>
      </c>
      <c r="S30" s="9" t="inlineStr">
        <is>
          <t>Ghi chú</t>
        </is>
      </c>
    </row>
    <row r="31">
      <c r="A31" s="20" t="inlineStr">
        <is>
          <t>HTL-001</t>
        </is>
      </c>
      <c r="B31" s="7" t="inlineStr">
        <is>
          <t>Khách sạn Hà Nội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13" t="n"/>
      <c r="O31" s="13" t="n"/>
      <c r="P31" s="21">
        <f>IF($N31="","",$N31+IF($O31="",0,$O31))</f>
        <v/>
      </c>
      <c r="Q31" s="22" t="n"/>
      <c r="R31" s="8" t="inlineStr">
        <is>
          <t>Còn hiệu lực</t>
        </is>
      </c>
      <c r="S31" s="8" t="inlineStr"/>
    </row>
    <row r="32">
      <c r="A32" s="20" t="inlineStr">
        <is>
          <t>HTL-002</t>
        </is>
      </c>
      <c r="B32" s="7" t="inlineStr">
        <is>
          <t>Khách sạn Hà Nội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13" t="n"/>
      <c r="O32" s="13" t="n"/>
      <c r="P32" s="21">
        <f>IF($N32="","",$N32+IF($O32="",0,$O32))</f>
        <v/>
      </c>
      <c r="Q32" s="22" t="n"/>
      <c r="R32" s="8" t="inlineStr">
        <is>
          <t>Còn hiệu lực</t>
        </is>
      </c>
      <c r="S32" s="8" t="inlineStr"/>
    </row>
    <row r="33">
      <c r="A33" s="20" t="inlineStr">
        <is>
          <t>HTL-003</t>
        </is>
      </c>
      <c r="B33" s="7" t="inlineStr">
        <is>
          <t>Khách sạn Hà Nội</t>
        </is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13" t="n"/>
      <c r="O33" s="13" t="n"/>
      <c r="P33" s="21">
        <f>IF($N33="","",$N33+IF($O33="",0,$O33))</f>
        <v/>
      </c>
      <c r="Q33" s="22" t="n"/>
      <c r="R33" s="8" t="inlineStr">
        <is>
          <t>Còn hiệu lực</t>
        </is>
      </c>
      <c r="S33" s="8" t="inlineStr"/>
    </row>
    <row r="34">
      <c r="A34" s="20" t="inlineStr">
        <is>
          <t>HTL-004</t>
        </is>
      </c>
      <c r="B34" s="7" t="inlineStr">
        <is>
          <t>Khách sạn Hà Nội</t>
        </is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13" t="n"/>
      <c r="O34" s="13" t="n"/>
      <c r="P34" s="21">
        <f>IF($N34="","",$N34+IF($O34="",0,$O34))</f>
        <v/>
      </c>
      <c r="Q34" s="22" t="n"/>
      <c r="R34" s="8" t="inlineStr">
        <is>
          <t>Còn hiệu lực</t>
        </is>
      </c>
      <c r="S34" s="8" t="inlineStr"/>
    </row>
    <row r="35">
      <c r="A35" s="20" t="inlineStr">
        <is>
          <t>HTL-005</t>
        </is>
      </c>
      <c r="B35" s="7" t="inlineStr">
        <is>
          <t>Khách sạn Hà Nội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13" t="n"/>
      <c r="O35" s="13" t="n"/>
      <c r="P35" s="21">
        <f>IF($N35="","",$N35+IF($O35="",0,$O35))</f>
        <v/>
      </c>
      <c r="Q35" s="22" t="n"/>
      <c r="R35" s="8" t="inlineStr">
        <is>
          <t>Còn hiệu lực</t>
        </is>
      </c>
      <c r="S35" s="8" t="inlineStr"/>
    </row>
    <row r="36">
      <c r="A36" s="20" t="inlineStr">
        <is>
          <t>HTL-006</t>
        </is>
      </c>
      <c r="B36" s="7" t="inlineStr">
        <is>
          <t>Khách sạn Hà Nội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13" t="n"/>
      <c r="O36" s="13" t="n"/>
      <c r="P36" s="21">
        <f>IF($N36="","",$N36+IF($O36="",0,$O36))</f>
        <v/>
      </c>
      <c r="Q36" s="22" t="n"/>
      <c r="R36" s="8" t="inlineStr">
        <is>
          <t>Còn hiệu lực</t>
        </is>
      </c>
      <c r="S36" s="8" t="inlineStr"/>
    </row>
    <row r="37">
      <c r="A37" s="20" t="inlineStr">
        <is>
          <t>HTL-007</t>
        </is>
      </c>
      <c r="B37" s="7" t="inlineStr">
        <is>
          <t>Khách sạn Hà Nội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13" t="n"/>
      <c r="O37" s="13" t="n"/>
      <c r="P37" s="21">
        <f>IF($N37="","",$N37+IF($O37="",0,$O37))</f>
        <v/>
      </c>
      <c r="Q37" s="22" t="n"/>
      <c r="R37" s="8" t="inlineStr">
        <is>
          <t>Còn hiệu lực</t>
        </is>
      </c>
      <c r="S37" s="8" t="inlineStr"/>
    </row>
    <row r="38">
      <c r="A38" s="20" t="inlineStr">
        <is>
          <t>HTL-008</t>
        </is>
      </c>
      <c r="B38" s="7" t="inlineStr">
        <is>
          <t>Khách sạn Hà Nội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13" t="n"/>
      <c r="O38" s="13" t="n"/>
      <c r="P38" s="21">
        <f>IF($N38="","",$N38+IF($O38="",0,$O38))</f>
        <v/>
      </c>
      <c r="Q38" s="22" t="n"/>
      <c r="R38" s="8" t="inlineStr">
        <is>
          <t>Còn hiệu lực</t>
        </is>
      </c>
      <c r="S38" s="8" t="inlineStr"/>
    </row>
    <row r="39">
      <c r="A39" s="20" t="inlineStr">
        <is>
          <t>HTL-009</t>
        </is>
      </c>
      <c r="B39" s="7" t="inlineStr">
        <is>
          <t>Khách sạn Hà Nội</t>
        </is>
      </c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13" t="n"/>
      <c r="O39" s="13" t="n"/>
      <c r="P39" s="21">
        <f>IF($N39="","",$N39+IF($O39="",0,$O39))</f>
        <v/>
      </c>
      <c r="Q39" s="22" t="n"/>
      <c r="R39" s="8" t="inlineStr">
        <is>
          <t>Còn hiệu lực</t>
        </is>
      </c>
      <c r="S39" s="8" t="inlineStr"/>
    </row>
    <row r="40">
      <c r="A40" s="20" t="inlineStr">
        <is>
          <t>HTL-010</t>
        </is>
      </c>
      <c r="B40" s="7" t="inlineStr">
        <is>
          <t>Khách sạn Hà Nội</t>
        </is>
      </c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13" t="n"/>
      <c r="O40" s="13" t="n"/>
      <c r="P40" s="21">
        <f>IF($N40="","",$N40+IF($O40="",0,$O40))</f>
        <v/>
      </c>
      <c r="Q40" s="22" t="n"/>
      <c r="R40" s="8" t="inlineStr">
        <is>
          <t>Còn hiệu lực</t>
        </is>
      </c>
      <c r="S40" s="8" t="inlineStr"/>
    </row>
  </sheetData>
  <mergeCells count="4">
    <mergeCell ref="A3:S3"/>
    <mergeCell ref="A16:S16"/>
    <mergeCell ref="A1:S1"/>
    <mergeCell ref="A29:S29"/>
  </mergeCells>
  <dataValidations count="1">
    <dataValidation sqref="R5:R60" showDropDown="0" showInputMessage="0" showErrorMessage="0" allowBlank="1" type="list">
      <formula1>"Còn hiệu lực,Hết hiệu lực"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24" customHeight="1">
      <c r="A1" s="1" t="inlineStr">
        <is>
          <t>CHI PHÍ</t>
        </is>
      </c>
    </row>
    <row r="2">
      <c r="A2" s="14" t="inlineStr">
        <is>
          <t>⏳ Sẽ hoàn thiện ở Phase 5</t>
        </is>
      </c>
    </row>
    <row r="3" ht="30" customHeight="1">
      <c r="A3" s="9" t="inlineStr">
        <is>
          <t>Mã thành viên</t>
        </is>
      </c>
      <c r="B3" s="9" t="inlineStr">
        <is>
          <t>Họ tên</t>
        </is>
      </c>
      <c r="C3" s="9" t="inlineStr">
        <is>
          <t>Gói VKF</t>
        </is>
      </c>
      <c r="D3" s="9" t="inlineStr">
        <is>
          <t>Lệ phí thi</t>
        </is>
      </c>
      <c r="E3" s="9" t="inlineStr">
        <is>
          <t>Đêm thêm NB</t>
        </is>
      </c>
      <c r="F3" s="9" t="inlineStr">
        <is>
          <t>Vé MB</t>
        </is>
      </c>
      <c r="G3" s="9" t="inlineStr">
        <is>
          <t>Di chuyển</t>
        </is>
      </c>
      <c r="H3" s="9" t="inlineStr">
        <is>
          <t>KS HN</t>
        </is>
      </c>
      <c r="I3" s="9" t="inlineStr">
        <is>
          <t>Ăn HN</t>
        </is>
      </c>
      <c r="J3" s="9" t="inlineStr">
        <is>
          <t>Đi lại HN</t>
        </is>
      </c>
      <c r="K3" s="9" t="inlineStr">
        <is>
          <t>Zekken</t>
        </is>
      </c>
      <c r="L3" s="9" t="inlineStr">
        <is>
          <t>Bảo hiểm</t>
        </is>
      </c>
      <c r="M3" s="9" t="inlineStr">
        <is>
          <t>Khác</t>
        </is>
      </c>
      <c r="N3" s="9" t="inlineStr">
        <is>
          <t>Tổng</t>
        </is>
      </c>
      <c r="O3" s="9" t="inlineStr">
        <is>
          <t>Đã TT</t>
        </is>
      </c>
      <c r="P3" s="9" t="inlineStr">
        <is>
          <t>Còn lại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LỊCH TRÌNH</t>
        </is>
      </c>
    </row>
    <row r="2">
      <c r="A2" s="14" t="inlineStr">
        <is>
          <t>⏳ Sẽ hoàn thiện ở Phase 6</t>
        </is>
      </c>
    </row>
    <row r="3" ht="30" customHeight="1">
      <c r="A3" s="9" t="inlineStr">
        <is>
          <t>Ngày</t>
        </is>
      </c>
      <c r="B3" s="9" t="inlineStr">
        <is>
          <t>Thứ</t>
        </is>
      </c>
      <c r="C3" s="9" t="inlineStr">
        <is>
          <t>Từ</t>
        </is>
      </c>
      <c r="D3" s="9" t="inlineStr">
        <is>
          <t>Đến</t>
        </is>
      </c>
      <c r="E3" s="9" t="inlineStr">
        <is>
          <t>Hoạt động</t>
        </is>
      </c>
      <c r="F3" s="9" t="inlineStr">
        <is>
          <t>Địa điểm</t>
        </is>
      </c>
      <c r="G3" s="9" t="inlineStr">
        <is>
          <t>PIC</t>
        </is>
      </c>
      <c r="H3" s="9" t="inlineStr">
        <is>
          <t>Ghi chú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4" customHeight="1">
      <c r="A1" s="1" t="inlineStr">
        <is>
          <t>TỔNG QUAN</t>
        </is>
      </c>
    </row>
    <row r="2">
      <c r="A2" s="14" t="inlineStr">
        <is>
          <t>⏳ Sẽ hoàn thiện ở Phase 7</t>
        </is>
      </c>
    </row>
    <row r="3" ht="30" customHeight="1">
      <c r="A3" s="9" t="inlineStr">
        <is>
          <t>Chỉ số</t>
        </is>
      </c>
      <c r="B3" s="9" t="inlineStr">
        <is>
          <t>Giá trị</t>
        </is>
      </c>
      <c r="C3" s="9" t="inlineStr">
        <is>
          <t>Ghi chú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Shakaijin Kendo Team</dc:creator>
  <dc:title>Kopie von [SHAKAIJIN] Ninh Bình - Hà Nội 2026 [refined]</dc:title>
  <dcterms:created xsi:type="dcterms:W3CDTF">2026-10-06T10:50:42Z</dcterms:created>
  <dcterms:modified xsi:type="dcterms:W3CDTF">2026-10-06T10:50:42Z</dcterms:modified>
</cp:coreProperties>
</file>