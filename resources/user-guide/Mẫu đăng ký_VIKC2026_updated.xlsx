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ẫu đăng ký" sheetId="1" r:id="rId4"/>
  </sheets>
  <definedNames/>
  <calcPr/>
  <extLst>
    <ext uri="GoogleSheetsCustomDataVersion2">
      <go:sheetsCustomData xmlns:go="http://customooxmlschemas.google.com/" r:id="rId5" roundtripDataChecksum="TD+/SLbXFG4LEEEqa9RwB7TBxYqqel1UmYECOek8OL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66">
      <text>
        <t xml:space="preserve">======
ID#AAACHlTH78U
Minh    (2026-09-25 09:52:54)
Không đăng ký ô này. Tối thứ Bảy là WP</t>
      </text>
    </comment>
    <comment authorId="0" ref="AK62">
      <text>
        <t xml:space="preserve">======
ID#AAACHlTH8BM
Minh    (2026-09-25 09:52:54)
Không đăng ký ô này. Tối thứ Bảy là WP</t>
      </text>
    </comment>
    <comment authorId="0" ref="AK58">
      <text>
        <t xml:space="preserve">======
ID#AAACHkrQiPg
Minh    (2026-09-25 09:52:54)
Không đăng ký ô này. Tối thứ Bảy là WP</t>
      </text>
    </comment>
    <comment authorId="0" ref="AK54">
      <text>
        <t xml:space="preserve">======
ID#AAACHlTH780
Minh    (2026-09-25 09:52:54)
Không đăng ký ô này. Tối thứ Bảy là WP</t>
      </text>
    </comment>
    <comment authorId="0" ref="AK50">
      <text>
        <t xml:space="preserve">======
ID#AAACHkrQiP0
Minh    (2026-09-25 09:52:54)
Không đăng ký ô này. Tối thứ Bảy là WP</t>
      </text>
    </comment>
    <comment authorId="0" ref="AK46">
      <text>
        <t xml:space="preserve">======
ID#AAACHkrQiPs
Minh    (2026-09-25 09:52:54)
Không đăng ký ô này. Tối thứ Bảy là WP</t>
      </text>
    </comment>
    <comment authorId="0" ref="AK108">
      <text>
        <t xml:space="preserve">======
ID#AAACHlTH78k
Minh    (2026-09-25 09:52:54)
Không đăng ký ô này. Tối thứ Bảy là WP</t>
      </text>
    </comment>
    <comment authorId="0" ref="AK42">
      <text>
        <t xml:space="preserve">======
ID#AAACHlTH78s
Minh    (2026-09-25 09:52:54)
Không đăng ký ô này. Tối thứ Bảy là WP</t>
      </text>
    </comment>
    <comment authorId="0" ref="AK104">
      <text>
        <t xml:space="preserve">======
ID#AAACHlTH79I
Minh    (2026-09-25 09:52:54)
Không đăng ký ô này. Tối thứ Bảy là WP</t>
      </text>
    </comment>
    <comment authorId="0" ref="AK38">
      <text>
        <t xml:space="preserve">======
ID#AAACHlTH8CQ
Minh    (2026-09-25 09:52:54)
Không đăng ký ô này. Tối thứ Bảy là WP</t>
      </text>
    </comment>
    <comment authorId="0" ref="AK100">
      <text>
        <t xml:space="preserve">======
ID#AAACHlTH79A
Minh    (2026-09-25 09:52:54)
Không đăng ký ô này. Tối thứ Bảy là WP</t>
      </text>
    </comment>
    <comment authorId="0" ref="AK34">
      <text>
        <t xml:space="preserve">======
ID#AAACHlTH8CY
Minh    (2026-09-25 09:52:54)
Không đăng ký ô này. Tối thứ Bảy là WP</t>
      </text>
    </comment>
    <comment authorId="0" ref="AK96">
      <text>
        <t xml:space="preserve">======
ID#AAACHlTH8B8
Minh    (2026-09-25 09:52:54)
Không đăng ký ô này. Tối thứ Bảy là WP</t>
      </text>
    </comment>
    <comment authorId="0" ref="AK30">
      <text>
        <t xml:space="preserve">======
ID#AAACHlTH78c
Minh    (2026-09-25 09:52:54)
Không đăng ký ô này. Tối thứ Bảy là WP</t>
      </text>
    </comment>
    <comment authorId="0" ref="AK92">
      <text>
        <t xml:space="preserve">======
ID#AAACHlTH8Bw
Minh    (2026-09-25 09:52:54)
Không đăng ký ô này. Tối thứ Bảy là WP</t>
      </text>
    </comment>
    <comment authorId="0" ref="AK26">
      <text>
        <t xml:space="preserve">======
ID#AAACHlTH8B4
Minh    (2026-09-25 09:52:54)
Không đăng ký ô này. Tối thứ Bảy là WP</t>
      </text>
    </comment>
    <comment authorId="0" ref="AK88">
      <text>
        <t xml:space="preserve">======
ID#AAACHlTH8CA
Minh    (2026-09-25 09:52:54)
Không đăng ký ô này. Tối thứ Bảy là WP</t>
      </text>
    </comment>
    <comment authorId="0" ref="AK22">
      <text>
        <t xml:space="preserve">======
ID#AAACHlTH784
Minh    (2026-09-25 09:52:54)
Không đăng ký ô này. Tối thứ Bảy là WP</t>
      </text>
    </comment>
    <comment authorId="0" ref="AK84">
      <text>
        <t xml:space="preserve">======
ID#AAACHlTH8Bg
Minh    (2026-09-25 09:52:54)
Không đăng ký ô này. Tối thứ Bảy là WP</t>
      </text>
    </comment>
    <comment authorId="0" ref="AK18">
      <text>
        <t xml:space="preserve">======
ID#AAACHlTH78I
Minh    (2026-09-25 09:52:54)
Không đăng ký ô này. Tối thứ Bảy là WP</t>
      </text>
    </comment>
    <comment authorId="0" ref="AK80">
      <text>
        <t xml:space="preserve">======
ID#AAACHlTH8Cg
Minh    (2026-09-25 09:52:54)
Không đăng ký ô này. Tối thứ Bảy là WP</t>
      </text>
    </comment>
    <comment authorId="0" ref="AK14">
      <text>
        <t xml:space="preserve">======
ID#AAACHlTH8Ck
Minh    (2026-09-25 09:52:54)
Không đăng ký ô này. Tối thứ Bảy là WP</t>
      </text>
    </comment>
    <comment authorId="0" ref="AK76">
      <text>
        <t xml:space="preserve">======
ID#AAACHlTH8Bs
Minh    (2026-09-25 09:52:54)
Không đăng ký ô này. Tối thứ Bảy là WP</t>
      </text>
    </comment>
    <comment authorId="0" ref="AK10">
      <text>
        <t xml:space="preserve">======
ID#AAACHlTH8CE
Minh    (2026-09-25 09:52:54)
Không đăng ký ô này. Tối thứ Bảy là WP</t>
      </text>
    </comment>
    <comment authorId="0" ref="AK72">
      <text>
        <t xml:space="preserve">======
ID#AAACHlTH79M
Minh    (2026-09-25 09:52:54)
Không đăng ký ô này. Tối thứ Bảy là WP</t>
      </text>
    </comment>
    <comment authorId="0" ref="AK68">
      <text>
        <t xml:space="preserve">======
ID#AAACHkrQiPk
Minh    (2026-09-25 09:52:54)
Không đăng ký ô này. Tối thứ Bảy là WP</t>
      </text>
    </comment>
    <comment authorId="0" ref="AK64">
      <text>
        <t xml:space="preserve">======
ID#AAACHlTH8BU
Minh    (2026-09-25 09:52:54)
Không đăng ký ô này. Tối thứ Bảy là WP</t>
      </text>
    </comment>
    <comment authorId="0" ref="AK60">
      <text>
        <t xml:space="preserve">======
ID#AAACHkrQiP4
Minh    (2026-09-25 09:52:54)
Không đăng ký ô này. Tối thứ Bảy là WP</t>
      </text>
    </comment>
    <comment authorId="0" ref="AK56">
      <text>
        <t xml:space="preserve">======
ID#AAACHlTH8BY
Minh    (2026-09-25 09:52:54)
Không đăng ký ô này. Tối thứ Bảy là WP</t>
      </text>
    </comment>
    <comment authorId="0" ref="AK52">
      <text>
        <t xml:space="preserve">======
ID#AAACHlTH78M
Minh    (2026-09-25 09:52:54)
Không đăng ký ô này. Tối thứ Bảy là WP</t>
      </text>
    </comment>
    <comment authorId="0" ref="AK48">
      <text>
        <t xml:space="preserve">======
ID#AAACHlTH8Bo
Minh    (2026-09-25 09:52:54)
Không đăng ký ô này. Tối thứ Bảy là WP</t>
      </text>
    </comment>
    <comment authorId="0" ref="AK44">
      <text>
        <t xml:space="preserve">======
ID#AAACHlTH8BE
Minh    (2026-09-25 09:52:54)
Không đăng ký ô này. Tối thứ Bảy là WP</t>
      </text>
    </comment>
    <comment authorId="0" ref="AK106">
      <text>
        <t xml:space="preserve">======
ID#AAACHlTH8B0
Minh    (2026-09-25 09:52:54)
Không đăng ký ô này. Tối thứ Bảy là WP</t>
      </text>
    </comment>
    <comment authorId="0" ref="AK40">
      <text>
        <t xml:space="preserve">======
ID#AAACHlTH8Bc
Minh    (2026-09-25 09:52:54)
Không đăng ký ô này. Tối thứ Bảy là WP</t>
      </text>
    </comment>
    <comment authorId="0" ref="AK102">
      <text>
        <t xml:space="preserve">======
ID#AAACHlTH78g
Minh    (2026-09-25 09:52:54)
Không đăng ký ô này. Tối thứ Bảy là WP</t>
      </text>
    </comment>
    <comment authorId="0" ref="AK36">
      <text>
        <t xml:space="preserve">======
ID#AAACHlTH78w
Minh    (2026-09-25 09:52:54)
Không đăng ký ô này. Tối thứ Bảy là WP</t>
      </text>
    </comment>
    <comment authorId="0" ref="AK98">
      <text>
        <t xml:space="preserve">======
ID#AAACHlTH8Bk
Minh    (2026-09-25 09:52:54)
Không đăng ký ô này. Tối thứ Bảy là WP</t>
      </text>
    </comment>
    <comment authorId="0" ref="AK32">
      <text>
        <t xml:space="preserve">======
ID#AAACHlTH79E
Minh    (2026-09-25 09:52:54)
Không đăng ký ô này. Tối thứ Bảy là WP</t>
      </text>
    </comment>
    <comment authorId="0" ref="AK94">
      <text>
        <t xml:space="preserve">======
ID#AAACHkrQiPo
Minh    (2026-09-25 09:52:54)
Không đăng ký ô này. Tối thứ Bảy là WP</t>
      </text>
    </comment>
    <comment authorId="0" ref="AK28">
      <text>
        <t xml:space="preserve">======
ID#AAACHlTH8CM
Minh    (2026-09-25 09:52:54)
Không đăng ký ô này. Tối thứ Bảy là WP</t>
      </text>
    </comment>
    <comment authorId="0" ref="AK90">
      <text>
        <t xml:space="preserve">======
ID#AAACHlTH8BQ
Minh    (2026-09-25 09:52:54)
Không đăng ký ô này. Tối thứ Bảy là WP</t>
      </text>
    </comment>
    <comment authorId="0" ref="AK24">
      <text>
        <t xml:space="preserve">======
ID#AAACHlTH788
Minh    (2026-09-25 09:52:54)
Không đăng ký ô này. Tối thứ Bảy là WP</t>
      </text>
    </comment>
    <comment authorId="0" ref="AK86">
      <text>
        <t xml:space="preserve">======
ID#AAACHlTH8CI
Minh    (2026-09-25 09:52:54)
Không đăng ký ô này. Tối thứ Bảy là WP</t>
      </text>
    </comment>
    <comment authorId="0" ref="AK20">
      <text>
        <t xml:space="preserve">======
ID#AAACHlTH8Cc
Minh    (2026-09-25 09:52:54)
Không đăng ký ô này. Tối thứ Bảy là WP</t>
      </text>
    </comment>
    <comment authorId="0" ref="AK82">
      <text>
        <t xml:space="preserve">======
ID#AAACHlTH78Y
Minh    (2026-09-25 09:52:54)
Không đăng ký ô này. Tối thứ Bảy là WP</t>
      </text>
    </comment>
    <comment authorId="0" ref="AK16">
      <text>
        <t xml:space="preserve">======
ID#AAACHkrQiPw
Minh    (2026-09-25 09:52:54)
Không đăng ký ô này. Tối thứ Bảy là WP</t>
      </text>
    </comment>
    <comment authorId="0" ref="AK78">
      <text>
        <t xml:space="preserve">======
ID#AAACHlTH78Q
Minh    (2026-09-25 09:52:54)
Không đăng ký ô này. Tối thứ Bảy là WP</t>
      </text>
    </comment>
    <comment authorId="0" ref="AK12">
      <text>
        <t xml:space="preserve">======
ID#AAACHlTH8CU
Minh    (2026-09-25 09:52:54)
Không đăng ký ô này. Tối thứ Bảy là WP</t>
      </text>
    </comment>
    <comment authorId="0" ref="AK74">
      <text>
        <t xml:space="preserve">======
ID#AAACHlTH78o
Minh    (2026-09-25 09:52:54)
Không đăng ký ô này. Tối thứ Bảy là WP</t>
      </text>
    </comment>
    <comment authorId="0" ref="AK8">
      <text>
        <t xml:space="preserve">======
ID#AAACHlTH8BI
Minh    (2026-09-25 09:52:54)
Không đăng ký ô này. Tối thứ Bảy là WP</t>
      </text>
    </comment>
    <comment authorId="0" ref="AK70">
      <text>
        <t xml:space="preserve">======
ID#AAACHlTH78E
Minh    (2026-09-25 09:52:54)
Không đăng ký ô này. Tối thứ Bảy là WP</t>
      </text>
    </comment>
  </commentList>
  <extLst>
    <ext uri="GoogleSheetsCustomDataVersion2">
      <go:sheetsCustomData xmlns:go="http://customooxmlschemas.google.com/" r:id="rId1" roundtripDataSignature="AMtx7mhWzuxHal41rTPCy/XnnbA+9JsBIg=="/>
    </ext>
  </extLst>
</comments>
</file>

<file path=xl/sharedStrings.xml><?xml version="1.0" encoding="utf-8"?>
<sst xmlns="http://schemas.openxmlformats.org/spreadsheetml/2006/main" count="253" uniqueCount="72">
  <si>
    <t>Biểu mẫu đăng ký thi Kyu/Dan và tham dự 1st Vietnam International Kendo Championships 2026</t>
  </si>
  <si>
    <t>Người đại diện đăng ký:</t>
  </si>
  <si>
    <t>Số điện thoại:</t>
  </si>
  <si>
    <t>Tổng</t>
  </si>
  <si>
    <t>Ngày đăng ký:</t>
  </si>
  <si>
    <t>Email:</t>
  </si>
  <si>
    <t>Đơn đăng ký và hồ sơ thi lên đẳng (Dan) phải được gửi đến các địa chỉ email sau: vikc@vietnamkendo.com và info@kendo.vn</t>
  </si>
  <si>
    <t>STT</t>
  </si>
  <si>
    <t>Họ và tên</t>
  </si>
  <si>
    <t>Giới tính
(Nam/Nữ)</t>
  </si>
  <si>
    <t>Ngày tháng năm sinh</t>
  </si>
  <si>
    <t>Số CCCD</t>
  </si>
  <si>
    <t>Số điện thoại</t>
  </si>
  <si>
    <t>Email</t>
  </si>
  <si>
    <t>Thông tin liên hệ trong trường hợp khẩn cấp</t>
  </si>
  <si>
    <t>Thành viên VKF</t>
  </si>
  <si>
    <t xml:space="preserve">Trình độ (Kyu/Dan) hiện tại </t>
  </si>
  <si>
    <t>Đăng ký thi Kyu/Dan</t>
  </si>
  <si>
    <t>Nội dung đăng ký thi đấu</t>
  </si>
  <si>
    <t>Đăng ký làm trọng tài
(trên 5 Dan)</t>
  </si>
  <si>
    <r>
      <rPr>
        <rFont val="Inter"/>
        <b/>
        <color rgb="FF000000"/>
        <sz val="12.0"/>
      </rPr>
      <t xml:space="preserve">Đăng ký khách sạn (đêm)
</t>
    </r>
    <r>
      <rPr>
        <rFont val="Inter"/>
        <b val="0"/>
        <i/>
        <color rgb="FF000000"/>
        <sz val="11.0"/>
      </rPr>
      <t>(Mỗi người một loại phòng thống nhất; Đêm T7 là bắt buộc với VĐV)</t>
    </r>
  </si>
  <si>
    <t>Ở cùng ai (trường hợp phòng đôi, ba)</t>
  </si>
  <si>
    <t>Tham dự Tiệc chào mừng</t>
  </si>
  <si>
    <r>
      <rPr>
        <rFont val="Inter"/>
        <b/>
        <color rgb="FF000000"/>
        <sz val="12.0"/>
      </rPr>
      <t xml:space="preserve">Đăng ký ăn
</t>
    </r>
    <r>
      <rPr>
        <rFont val="Inter"/>
        <b val="0"/>
        <i/>
        <color rgb="FF000000"/>
        <sz val="11.0"/>
      </rPr>
      <t>(note: ngày ăn trưa đã có trong phí thi đấu cũng cần chọn vào đây)</t>
    </r>
  </si>
  <si>
    <t>Vai trò 
( VĐV, Khác)</t>
  </si>
  <si>
    <t>Chi phí thi
(nghìn VNĐ)</t>
  </si>
  <si>
    <t>Phí thi đấu theo gói
(nghìn VNĐ)</t>
  </si>
  <si>
    <t>Chi phí ở
(nghìn VNĐ)</t>
  </si>
  <si>
    <t>Chi phí ăn
(nghìn VNĐ)</t>
  </si>
  <si>
    <t>Tổng theo công thức
(nghìn VNĐ)</t>
  </si>
  <si>
    <t>Ngày</t>
  </si>
  <si>
    <t>Tháng</t>
  </si>
  <si>
    <t>Năm</t>
  </si>
  <si>
    <t>Mã số Thành viên VKF</t>
  </si>
  <si>
    <t>Ngày cấp bằng hiện có</t>
  </si>
  <si>
    <t>Nơi/đơn vị cấp bằng hiện có</t>
  </si>
  <si>
    <t xml:space="preserve">Link ảnh bằng 
(Ảnh ghi rõ họ tên) </t>
  </si>
  <si>
    <t>1 Kyu</t>
  </si>
  <si>
    <t>Dan</t>
  </si>
  <si>
    <t>Nội dung</t>
  </si>
  <si>
    <t>Đăng ký</t>
  </si>
  <si>
    <t>Tên đội
(không đặt tên phản cảm)</t>
  </si>
  <si>
    <t>Vị trí trận đầu tiên</t>
  </si>
  <si>
    <t>21/11
(T7)</t>
  </si>
  <si>
    <t>22/11
(CN)</t>
  </si>
  <si>
    <t>18/11
(T4)</t>
  </si>
  <si>
    <t>19/11
(T5)</t>
  </si>
  <si>
    <t>20/11
(T6)</t>
  </si>
  <si>
    <t>23/11
(T2)</t>
  </si>
  <si>
    <t>Loại</t>
  </si>
  <si>
    <t>Hàng ngày</t>
  </si>
  <si>
    <t>WP</t>
  </si>
  <si>
    <t>Ví dụ</t>
  </si>
  <si>
    <t>Nguyễn Văn A</t>
  </si>
  <si>
    <t>Nam</t>
  </si>
  <si>
    <t>12345678901</t>
  </si>
  <si>
    <t>0912345678</t>
  </si>
  <si>
    <t>aaaa@gmail.com</t>
  </si>
  <si>
    <t>Có</t>
  </si>
  <si>
    <t>123456789</t>
  </si>
  <si>
    <t>2 kyu</t>
  </si>
  <si>
    <t>01/01/2026</t>
  </si>
  <si>
    <t>CLB ABC</t>
  </si>
  <si>
    <t>1 Dan</t>
  </si>
  <si>
    <t>X</t>
  </si>
  <si>
    <t>Đội A</t>
  </si>
  <si>
    <t>Sempo</t>
  </si>
  <si>
    <t>Phòng đôi</t>
  </si>
  <si>
    <t>Ăn trưa</t>
  </si>
  <si>
    <t>Đội 5 A</t>
  </si>
  <si>
    <t>Chuken</t>
  </si>
  <si>
    <t>Ăn tối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</si>
</sst>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8">
    <font>
      <sz val="10.0"/>
      <color rgb="FF000000"/>
      <name val="Arial"/>
      <scheme val="minor"/>
    </font>
    <font>
      <b/>
      <sz val="20.0"/>
      <color theme="1"/>
      <name val="Inter"/>
    </font>
    <font>
      <sz val="10.0"/>
      <color theme="1"/>
      <name val="Inter"/>
    </font>
    <font>
      <b/>
      <sz val="10.0"/>
      <color rgb="FF980000"/>
      <name val="Inter"/>
    </font>
    <font>
      <sz val="10.0"/>
      <color rgb="FF000000"/>
      <name val="Arial"/>
    </font>
    <font>
      <b/>
      <sz val="12.0"/>
      <color rgb="FF000000"/>
      <name val="Inter"/>
    </font>
    <font>
      <sz val="10.0"/>
      <color theme="1"/>
      <name val="Arial"/>
    </font>
    <font>
      <b/>
      <sz val="10.0"/>
      <color theme="1"/>
      <name val="Inter"/>
    </font>
    <font>
      <i/>
      <sz val="12.0"/>
      <color rgb="FFC00000"/>
      <name val="Inter"/>
    </font>
    <font/>
    <font>
      <b/>
      <sz val="12.0"/>
      <color theme="1"/>
      <name val="Inter"/>
    </font>
    <font>
      <b/>
      <sz val="12.0"/>
      <color rgb="FFC00000"/>
      <name val="Inter"/>
    </font>
    <font>
      <b/>
      <sz val="12.0"/>
      <color rgb="FF0000CC"/>
      <name val="Inter"/>
    </font>
    <font>
      <b/>
      <sz val="14.0"/>
      <color theme="1"/>
      <name val="Inter"/>
    </font>
    <font>
      <sz val="13.0"/>
      <color theme="1"/>
      <name val="Inter"/>
    </font>
    <font>
      <u/>
      <sz val="13.0"/>
      <color theme="10"/>
      <name val="Arial"/>
    </font>
    <font>
      <sz val="13.0"/>
      <color rgb="FF000000"/>
      <name val="Arial"/>
    </font>
    <font>
      <b/>
      <sz val="13.0"/>
      <color theme="1"/>
      <name val="Inter"/>
    </font>
  </fonts>
  <fills count="10">
    <fill>
      <patternFill patternType="none"/>
    </fill>
    <fill>
      <patternFill patternType="lightGray"/>
    </fill>
    <fill>
      <patternFill patternType="solid">
        <fgColor rgb="FFCCFF99"/>
        <bgColor rgb="FFCCFF99"/>
      </patternFill>
    </fill>
    <fill>
      <patternFill patternType="solid">
        <fgColor rgb="FFD2F1DA"/>
        <bgColor rgb="FFD2F1DA"/>
      </patternFill>
    </fill>
    <fill>
      <patternFill patternType="solid">
        <fgColor rgb="FFFFFFCC"/>
        <bgColor rgb="FFFFFFCC"/>
      </patternFill>
    </fill>
    <fill>
      <patternFill patternType="solid">
        <fgColor rgb="FF92D050"/>
        <bgColor rgb="FF92D050"/>
      </patternFill>
    </fill>
    <fill>
      <patternFill patternType="solid">
        <fgColor rgb="FFFFC499"/>
        <bgColor rgb="FFFFC499"/>
      </patternFill>
    </fill>
    <fill>
      <patternFill patternType="solid">
        <fgColor rgb="FFD8D8D8"/>
        <bgColor rgb="FFD8D8D8"/>
      </patternFill>
    </fill>
    <fill>
      <patternFill patternType="solid">
        <fgColor rgb="FFFAD9D6"/>
        <bgColor rgb="FFFAD9D6"/>
      </patternFill>
    </fill>
    <fill>
      <patternFill patternType="solid">
        <fgColor theme="0"/>
        <bgColor theme="0"/>
      </patternFill>
    </fill>
  </fills>
  <borders count="19">
    <border/>
    <border>
      <left style="thin">
        <color rgb="FF000000"/>
      </left>
      <right style="thin">
        <color rgb="FF000000"/>
      </right>
      <top style="thin">
        <color rgb="FF000000"/>
      </top>
    </border>
    <border>
      <left style="thin">
        <color rgb="FF000000"/>
      </left>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rder>
    <border>
      <left style="thin">
        <color rgb="FF000000"/>
      </left>
      <top style="thin">
        <color rgb="FF000000"/>
      </top>
      <bottom/>
    </border>
    <border>
      <right style="thin">
        <color rgb="FF000000"/>
      </right>
      <top style="thin">
        <color rgb="FF000000"/>
      </top>
      <bottom/>
    </border>
    <border>
      <right/>
      <top style="thin">
        <color rgb="FF000000"/>
      </top>
      <bottom style="thin">
        <color rgb="FF000000"/>
      </bottom>
    </border>
    <border>
      <left/>
      <top style="thin">
        <color rgb="FF000000"/>
      </top>
      <bottom style="thin">
        <color rgb="FF000000"/>
      </bottom>
    </border>
    <border>
      <top style="thin">
        <color rgb="FF000000"/>
      </top>
      <bottom/>
    </border>
    <border>
      <left style="thin">
        <color rgb="FF000000"/>
      </left>
      <right style="thin">
        <color rgb="FF000000"/>
      </right>
    </border>
    <border>
      <left style="thin">
        <color rgb="FF000000"/>
      </left>
      <right style="thin">
        <color rgb="FF000000"/>
      </right>
      <bottom/>
    </border>
    <border>
      <left style="thin">
        <color rgb="FF000000"/>
      </left>
      <right/>
      <bottom/>
    </border>
    <border>
      <left style="thin">
        <color rgb="FF000000"/>
      </left>
      <right style="thin">
        <color rgb="FF000000"/>
      </right>
      <top style="thin">
        <color rgb="FF000000"/>
      </top>
      <bottom/>
    </border>
    <border>
      <left/>
      <right style="thin">
        <color rgb="FF000000"/>
      </right>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vertical="center"/>
    </xf>
    <xf borderId="0" fillId="0" fontId="3" numFmtId="0" xfId="0" applyAlignment="1" applyFont="1">
      <alignment vertical="center"/>
    </xf>
    <xf borderId="0" fillId="0" fontId="4" numFmtId="0" xfId="0" applyFont="1"/>
    <xf borderId="0" fillId="0" fontId="4" numFmtId="0" xfId="0" applyAlignment="1" applyFont="1">
      <alignment horizontal="center" vertical="center"/>
    </xf>
    <xf borderId="0" fillId="0" fontId="5" numFmtId="0" xfId="0" applyAlignment="1" applyFont="1">
      <alignment horizontal="left" vertical="center"/>
    </xf>
    <xf borderId="0" fillId="0" fontId="5" numFmtId="49" xfId="0" applyAlignment="1" applyFont="1" applyNumberFormat="1">
      <alignment horizontal="center" vertical="center"/>
    </xf>
    <xf borderId="0" fillId="0" fontId="4" numFmtId="49" xfId="0" applyAlignment="1" applyFont="1" applyNumberFormat="1">
      <alignment horizontal="left" vertical="center"/>
    </xf>
    <xf borderId="0" fillId="0" fontId="5" numFmtId="0" xfId="0" applyAlignment="1" applyFont="1">
      <alignment horizontal="center" vertical="center"/>
    </xf>
    <xf borderId="0" fillId="0" fontId="5" numFmtId="0" xfId="0" applyAlignment="1" applyFont="1">
      <alignment vertical="center"/>
    </xf>
    <xf borderId="0" fillId="0" fontId="6" numFmtId="0" xfId="0" applyFont="1"/>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7" numFmtId="0" xfId="0" applyAlignment="1" applyFont="1">
      <alignment horizontal="center" vertical="center"/>
    </xf>
    <xf borderId="0" fillId="0" fontId="3" numFmtId="3" xfId="0" applyAlignment="1" applyFont="1" applyNumberFormat="1">
      <alignment vertical="center"/>
    </xf>
    <xf borderId="0" fillId="0" fontId="4" numFmtId="49" xfId="0" applyAlignment="1" applyFont="1" applyNumberFormat="1">
      <alignment horizontal="center" vertical="center"/>
    </xf>
    <xf borderId="0" fillId="0" fontId="8" numFmtId="0" xfId="0" applyAlignment="1" applyFont="1">
      <alignment horizontal="left" vertical="center"/>
    </xf>
    <xf borderId="1" fillId="0" fontId="5" numFmtId="0" xfId="0" applyAlignment="1" applyBorder="1" applyFont="1">
      <alignment horizontal="center" vertical="center"/>
    </xf>
    <xf borderId="1" fillId="2" fontId="5" numFmtId="0" xfId="0" applyAlignment="1" applyBorder="1" applyFill="1" applyFont="1">
      <alignment horizontal="center" vertical="center"/>
    </xf>
    <xf borderId="2" fillId="2" fontId="5" numFmtId="0" xfId="0" applyAlignment="1" applyBorder="1" applyFill="1" applyFont="1">
      <alignment horizontal="center" shrinkToFit="0" vertical="center" wrapText="1"/>
    </xf>
    <xf borderId="3" fillId="2" fontId="5" numFmtId="49" xfId="0" applyAlignment="1" applyBorder="1" applyFill="1" applyFont="1" applyNumberFormat="1">
      <alignment horizontal="center" vertical="center"/>
    </xf>
    <xf borderId="4" fillId="0" fontId="9" numFmtId="0" xfId="0" applyBorder="1" applyFont="1"/>
    <xf borderId="5" fillId="0" fontId="9" numFmtId="0" xfId="0" applyBorder="1" applyFont="1"/>
    <xf borderId="6" fillId="2" fontId="5" numFmtId="49" xfId="0" applyAlignment="1" applyBorder="1" applyFill="1" applyFont="1" applyNumberFormat="1">
      <alignment horizontal="center" vertical="center"/>
    </xf>
    <xf borderId="1" fillId="2" fontId="5" numFmtId="49" xfId="0" applyAlignment="1" applyBorder="1" applyFill="1" applyFont="1" applyNumberFormat="1">
      <alignment horizontal="center" vertical="center"/>
    </xf>
    <xf borderId="1" fillId="2" fontId="10" numFmtId="49" xfId="0" applyAlignment="1" applyBorder="1" applyFill="1" applyFont="1" applyNumberFormat="1">
      <alignment horizontal="center" shrinkToFit="0" vertical="center" wrapText="1"/>
    </xf>
    <xf borderId="7" fillId="2" fontId="5" numFmtId="49" xfId="0" applyAlignment="1" applyBorder="1" applyFill="1" applyFont="1" applyNumberFormat="1">
      <alignment horizontal="center" shrinkToFit="0" vertical="center" wrapText="1"/>
    </xf>
    <xf borderId="8" fillId="0" fontId="9" numFmtId="0" xfId="0" applyBorder="1" applyFont="1"/>
    <xf borderId="3" fillId="3" fontId="5" numFmtId="0" xfId="0" applyAlignment="1" applyBorder="1" applyFill="1" applyFont="1">
      <alignment horizontal="center" shrinkToFit="0" vertical="center" wrapText="1"/>
    </xf>
    <xf borderId="3" fillId="3" fontId="11" numFmtId="0" xfId="0" applyAlignment="1" applyBorder="1" applyFill="1" applyFont="1">
      <alignment horizontal="center" shrinkToFit="0" vertical="center" wrapText="1"/>
    </xf>
    <xf borderId="9" fillId="0" fontId="9" numFmtId="0" xfId="0" applyBorder="1" applyFont="1"/>
    <xf borderId="3" fillId="4" fontId="5" numFmtId="0" xfId="0" applyAlignment="1" applyBorder="1" applyFill="1" applyFont="1">
      <alignment horizontal="center" vertical="center"/>
    </xf>
    <xf borderId="10" fillId="5" fontId="5" numFmtId="0" xfId="0" applyAlignment="1" applyBorder="1" applyFill="1" applyFont="1">
      <alignment horizontal="center" shrinkToFit="0" vertical="center" wrapText="1"/>
    </xf>
    <xf borderId="10" fillId="6" fontId="5" numFmtId="0" xfId="0" applyAlignment="1" applyBorder="1" applyFill="1" applyFont="1">
      <alignment horizontal="center" shrinkToFit="0" vertical="center" wrapText="1"/>
    </xf>
    <xf borderId="1" fillId="6" fontId="10" numFmtId="0" xfId="0" applyAlignment="1" applyBorder="1" applyFill="1" applyFont="1">
      <alignment horizontal="center" shrinkToFit="0" vertical="center" wrapText="1"/>
    </xf>
    <xf borderId="7" fillId="3" fontId="5" numFmtId="0" xfId="0" applyAlignment="1" applyBorder="1" applyFill="1" applyFont="1">
      <alignment horizontal="center" shrinkToFit="0" vertical="center" wrapText="1"/>
    </xf>
    <xf borderId="11" fillId="0" fontId="9" numFmtId="0" xfId="0" applyBorder="1" applyFont="1"/>
    <xf borderId="1" fillId="0" fontId="5"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12" fillId="0" fontId="9" numFmtId="0" xfId="0" applyBorder="1" applyFont="1"/>
    <xf borderId="13" fillId="0" fontId="9" numFmtId="0" xfId="0" applyBorder="1" applyFont="1"/>
    <xf borderId="14" fillId="0" fontId="9" numFmtId="0" xfId="0" applyBorder="1" applyFont="1"/>
    <xf borderId="15" fillId="2" fontId="5" numFmtId="0" xfId="0" applyAlignment="1" applyBorder="1" applyFill="1" applyFont="1">
      <alignment horizontal="center" shrinkToFit="0" vertical="center" wrapText="1"/>
    </xf>
    <xf borderId="16" fillId="0" fontId="9" numFmtId="0" xfId="0" applyBorder="1" applyFont="1"/>
    <xf borderId="15" fillId="2" fontId="5" numFmtId="49" xfId="0" applyAlignment="1" applyBorder="1" applyFill="1" applyFont="1" applyNumberFormat="1">
      <alignment horizontal="center" shrinkToFit="0" vertical="center" wrapText="1"/>
    </xf>
    <xf borderId="15" fillId="3" fontId="5" numFmtId="0" xfId="0" applyAlignment="1" applyBorder="1" applyFill="1" applyFont="1">
      <alignment horizontal="center" shrinkToFit="0" vertical="center" wrapText="1"/>
    </xf>
    <xf borderId="15" fillId="3" fontId="10" numFmtId="49" xfId="0" applyAlignment="1" applyBorder="1" applyFill="1" applyFont="1" applyNumberFormat="1">
      <alignment horizontal="center" shrinkToFit="0" vertical="center" wrapText="1"/>
    </xf>
    <xf borderId="15" fillId="3" fontId="10" numFmtId="0" xfId="0" applyAlignment="1" applyBorder="1" applyFill="1" applyFont="1">
      <alignment horizontal="center" shrinkToFit="0" vertical="center" wrapText="1"/>
    </xf>
    <xf borderId="15" fillId="3" fontId="11" numFmtId="0" xfId="0" applyAlignment="1" applyBorder="1" applyFill="1" applyFont="1">
      <alignment horizontal="center" shrinkToFit="0" vertical="center" wrapText="1"/>
    </xf>
    <xf borderId="15" fillId="4" fontId="12" numFmtId="0" xfId="0" applyAlignment="1" applyBorder="1" applyFill="1" applyFont="1">
      <alignment horizontal="center" shrinkToFit="0" vertical="center" wrapText="1"/>
    </xf>
    <xf borderId="15" fillId="4" fontId="13" numFmtId="0" xfId="0" applyAlignment="1" applyBorder="1" applyFill="1" applyFont="1">
      <alignment horizontal="center" shrinkToFit="0" vertical="center" wrapText="1"/>
    </xf>
    <xf borderId="15" fillId="5" fontId="13" numFmtId="0" xfId="0" applyAlignment="1" applyBorder="1" applyFill="1" applyFont="1">
      <alignment horizontal="center" shrinkToFit="0" vertical="center" wrapText="1"/>
    </xf>
    <xf borderId="15" fillId="6" fontId="10" numFmtId="49" xfId="0" applyAlignment="1" applyBorder="1" applyFill="1" applyFont="1" applyNumberFormat="1">
      <alignment horizontal="center" shrinkToFit="0" vertical="center" wrapText="1"/>
    </xf>
    <xf borderId="17" fillId="0" fontId="9" numFmtId="0" xfId="0" applyBorder="1" applyFont="1"/>
    <xf borderId="1" fillId="0" fontId="10" numFmtId="0" xfId="0" applyAlignment="1" applyBorder="1" applyFont="1">
      <alignment horizontal="center" vertical="center"/>
    </xf>
    <xf borderId="1" fillId="7" fontId="14" numFmtId="0" xfId="0" applyAlignment="1" applyBorder="1" applyFill="1" applyFont="1">
      <alignment horizontal="center" vertical="center"/>
    </xf>
    <xf borderId="1" fillId="7" fontId="14" numFmtId="49" xfId="0" applyAlignment="1" applyBorder="1" applyFill="1" applyFont="1" applyNumberFormat="1">
      <alignment horizontal="center" vertical="center"/>
    </xf>
    <xf borderId="1" fillId="7" fontId="15" numFmtId="49" xfId="0" applyAlignment="1" applyBorder="1" applyFill="1" applyFont="1" applyNumberFormat="1">
      <alignment horizontal="center" vertical="center"/>
    </xf>
    <xf borderId="18" fillId="7" fontId="14" numFmtId="0" xfId="0" applyAlignment="1" applyBorder="1" applyFill="1" applyFont="1">
      <alignment horizontal="center" shrinkToFit="0" vertical="center" wrapText="1"/>
    </xf>
    <xf borderId="18" fillId="7" fontId="14" numFmtId="0" xfId="0" applyAlignment="1" applyBorder="1" applyFill="1" applyFont="1">
      <alignment horizontal="center" vertical="center"/>
    </xf>
    <xf borderId="1" fillId="7" fontId="14" numFmtId="49" xfId="0" applyAlignment="1" applyBorder="1" applyFill="1" applyFont="1" applyNumberFormat="1">
      <alignment horizontal="center" shrinkToFit="0" vertical="center" wrapText="1"/>
    </xf>
    <xf borderId="18" fillId="7" fontId="14" numFmtId="49" xfId="0" applyAlignment="1" applyBorder="1" applyFill="1" applyFont="1" applyNumberFormat="1">
      <alignment horizontal="center" shrinkToFit="0" vertical="center" wrapText="1"/>
    </xf>
    <xf borderId="1" fillId="7" fontId="14" numFmtId="164" xfId="0" applyAlignment="1" applyBorder="1" applyFill="1" applyFont="1" applyNumberFormat="1">
      <alignment horizontal="center" vertical="center"/>
    </xf>
    <xf borderId="0" fillId="0" fontId="16" numFmtId="0" xfId="0" applyFont="1"/>
    <xf borderId="0" fillId="0" fontId="16" numFmtId="0" xfId="0" applyAlignment="1" applyFont="1">
      <alignment horizontal="center" vertical="center"/>
    </xf>
    <xf borderId="18" fillId="8" fontId="17" numFmtId="49" xfId="0" applyAlignment="1" applyBorder="1" applyFill="1" applyFont="1" applyNumberFormat="1">
      <alignment horizontal="center" shrinkToFit="0" vertical="center" wrapText="1"/>
    </xf>
    <xf borderId="1" fillId="0" fontId="14" numFmtId="0" xfId="0" applyAlignment="1" applyBorder="1" applyFont="1">
      <alignment horizontal="center" vertical="center"/>
    </xf>
    <xf borderId="1" fillId="0" fontId="14" numFmtId="0" xfId="0" applyAlignment="1" applyBorder="1" applyFont="1">
      <alignment horizontal="center" readingOrder="0" vertical="center"/>
    </xf>
    <xf borderId="1" fillId="0" fontId="14" numFmtId="49" xfId="0" applyAlignment="1" applyBorder="1" applyFont="1" applyNumberFormat="1">
      <alignment horizontal="center" readingOrder="0" vertical="center"/>
    </xf>
    <xf borderId="1" fillId="0" fontId="14" numFmtId="49" xfId="0" applyAlignment="1" applyBorder="1" applyFont="1" applyNumberFormat="1">
      <alignment horizontal="center" vertical="center"/>
    </xf>
    <xf borderId="18" fillId="0" fontId="14" numFmtId="0" xfId="0" applyAlignment="1" applyBorder="1" applyFont="1">
      <alignment horizontal="center" shrinkToFit="0" vertical="center" wrapText="1"/>
    </xf>
    <xf borderId="18" fillId="0" fontId="14" numFmtId="0" xfId="0" applyAlignment="1" applyBorder="1" applyFont="1">
      <alignment horizontal="center" readingOrder="0" vertical="center"/>
    </xf>
    <xf borderId="1" fillId="0" fontId="14" numFmtId="49" xfId="0" applyAlignment="1" applyBorder="1" applyFont="1" applyNumberFormat="1">
      <alignment horizontal="center" readingOrder="0" shrinkToFit="0" vertical="center" wrapText="1"/>
    </xf>
    <xf borderId="18" fillId="0" fontId="14" numFmtId="0" xfId="0" applyAlignment="1" applyBorder="1" applyFont="1">
      <alignment horizontal="center" vertical="center"/>
    </xf>
    <xf borderId="18" fillId="0" fontId="14" numFmtId="49" xfId="0" applyAlignment="1" applyBorder="1" applyFont="1" applyNumberFormat="1">
      <alignment horizontal="center" readingOrder="0" shrinkToFit="0" vertical="center" wrapText="1"/>
    </xf>
    <xf borderId="1" fillId="9" fontId="14" numFmtId="164" xfId="0" applyAlignment="1" applyBorder="1" applyFill="1" applyFont="1" applyNumberFormat="1">
      <alignment horizontal="center" vertical="center"/>
    </xf>
    <xf borderId="1" fillId="0" fontId="14" numFmtId="164" xfId="0" applyAlignment="1" applyBorder="1" applyFont="1" applyNumberFormat="1">
      <alignment horizontal="center" vertical="center"/>
    </xf>
    <xf borderId="1" fillId="0" fontId="14" numFmtId="49" xfId="0" applyAlignment="1" applyBorder="1" applyFont="1" applyNumberFormat="1">
      <alignment horizontal="center" shrinkToFit="0" vertical="center" wrapText="1"/>
    </xf>
    <xf borderId="18" fillId="0" fontId="14" numFmtId="49" xfId="0" applyAlignment="1" applyBorder="1" applyFont="1" applyNumberFormat="1">
      <alignment horizontal="center" shrinkToFit="0" vertical="center" wrapText="1"/>
    </xf>
    <xf borderId="0" fillId="0" fontId="4" numFmtId="4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aaaa@gmail.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0"/>
    <col customWidth="1" min="2" max="2" width="26.38"/>
    <col customWidth="1" min="3" max="3" width="13.75"/>
    <col customWidth="1" min="4" max="6" width="8.13"/>
    <col customWidth="1" min="7" max="7" width="19.38"/>
    <col customWidth="1" min="8" max="8" width="17.13"/>
    <col customWidth="1" min="9" max="9" width="26.63"/>
    <col customWidth="1" min="10" max="10" width="17.88"/>
    <col customWidth="1" min="11" max="11" width="12.13"/>
    <col customWidth="1" min="12" max="12" width="16.38"/>
    <col customWidth="1" min="13" max="13" width="15.25"/>
    <col customWidth="1" min="14" max="14" width="17.13"/>
    <col customWidth="1" min="15" max="15" width="16.63"/>
    <col customWidth="1" min="16" max="16" width="15.25"/>
    <col customWidth="1" min="17" max="18" width="12.25"/>
    <col customWidth="1" min="19" max="19" width="19.75"/>
    <col customWidth="1" min="20" max="20" width="10.63"/>
    <col customWidth="1" min="21" max="21" width="21.0"/>
    <col customWidth="1" min="22" max="22" width="16.13"/>
    <col customWidth="1" min="23" max="24" width="12.0"/>
    <col customWidth="1" min="25" max="30" width="11.0"/>
    <col customWidth="1" min="31" max="31" width="17.38"/>
    <col customWidth="1" min="32" max="32" width="11.88"/>
    <col customWidth="1" min="33" max="33" width="14.63"/>
    <col customWidth="1" min="34" max="39" width="8.63"/>
    <col customWidth="1" min="40" max="40" width="10.25"/>
    <col customWidth="1" min="41" max="41" width="18.25"/>
    <col customWidth="1" min="42" max="42" width="22.38"/>
    <col customWidth="1" min="43" max="43" width="18.25"/>
    <col customWidth="1" min="44" max="45" width="12.63"/>
    <col customWidth="1" min="46" max="46" width="24.75"/>
    <col customWidth="1" min="47" max="48" width="12.63"/>
  </cols>
  <sheetData>
    <row r="1" ht="26.25" customHeight="1">
      <c r="A1" s="1" t="s">
        <v>0</v>
      </c>
      <c r="W1" s="2"/>
      <c r="X1" s="2"/>
      <c r="Y1" s="2"/>
      <c r="Z1" s="2"/>
      <c r="AA1" s="2"/>
      <c r="AB1" s="2"/>
      <c r="AC1" s="2"/>
      <c r="AD1" s="2"/>
      <c r="AE1" s="2"/>
      <c r="AF1" s="2"/>
      <c r="AG1" s="3"/>
      <c r="AH1" s="3"/>
      <c r="AI1" s="3"/>
      <c r="AJ1" s="3"/>
      <c r="AK1" s="3"/>
      <c r="AL1" s="3"/>
      <c r="AM1" s="3"/>
      <c r="AN1" s="2"/>
      <c r="AO1" s="4"/>
      <c r="AP1" s="4"/>
      <c r="AQ1" s="4"/>
      <c r="AR1" s="4"/>
      <c r="AS1" s="4"/>
      <c r="AT1" s="5"/>
      <c r="AU1" s="6"/>
      <c r="AV1" s="7"/>
    </row>
    <row r="2" ht="20.25" customHeight="1">
      <c r="A2" s="8" t="s">
        <v>1</v>
      </c>
      <c r="C2" s="9"/>
      <c r="J2" s="9" t="s">
        <v>2</v>
      </c>
      <c r="K2" s="10"/>
      <c r="O2" s="9"/>
      <c r="P2" s="11"/>
      <c r="Q2" s="11"/>
      <c r="R2" s="12"/>
      <c r="S2" s="12"/>
      <c r="T2" s="11"/>
      <c r="U2" s="11"/>
      <c r="V2" s="11"/>
      <c r="W2" s="11"/>
      <c r="X2" s="11"/>
      <c r="Y2" s="11"/>
      <c r="Z2" s="6"/>
      <c r="AA2" s="6"/>
      <c r="AB2" s="6"/>
      <c r="AC2" s="6"/>
      <c r="AD2" s="13"/>
      <c r="AE2" s="13"/>
      <c r="AF2" s="14"/>
      <c r="AG2" s="15"/>
      <c r="AH2" s="11"/>
      <c r="AI2" s="6"/>
      <c r="AJ2" s="6"/>
      <c r="AK2" s="6"/>
      <c r="AL2" s="6"/>
      <c r="AM2" s="13"/>
      <c r="AN2" s="8"/>
      <c r="AO2" s="6"/>
      <c r="AP2" s="4"/>
      <c r="AQ2" s="4"/>
      <c r="AR2" s="4"/>
      <c r="AS2" s="16" t="s">
        <v>3</v>
      </c>
      <c r="AT2" s="17">
        <f>SUM(AT9:AT108)</f>
        <v>0</v>
      </c>
      <c r="AU2" s="6"/>
      <c r="AV2" s="7"/>
    </row>
    <row r="3" ht="20.25" customHeight="1">
      <c r="A3" s="8" t="s">
        <v>4</v>
      </c>
      <c r="C3" s="9"/>
      <c r="J3" s="9" t="s">
        <v>5</v>
      </c>
      <c r="K3" s="18"/>
      <c r="O3" s="9"/>
      <c r="P3" s="11"/>
      <c r="Q3" s="11"/>
      <c r="R3" s="11"/>
      <c r="S3" s="11"/>
      <c r="T3" s="11"/>
      <c r="U3" s="11"/>
      <c r="V3" s="11"/>
      <c r="W3" s="11"/>
      <c r="X3" s="11"/>
      <c r="Y3" s="11"/>
      <c r="Z3" s="13"/>
      <c r="AA3" s="13"/>
      <c r="AB3" s="13"/>
      <c r="AC3" s="13"/>
      <c r="AD3" s="13"/>
      <c r="AE3" s="13"/>
      <c r="AF3" s="14"/>
      <c r="AG3" s="15"/>
      <c r="AH3" s="11"/>
      <c r="AI3" s="13"/>
      <c r="AJ3" s="13"/>
      <c r="AK3" s="13"/>
      <c r="AL3" s="13"/>
      <c r="AM3" s="13"/>
      <c r="AN3" s="8"/>
      <c r="AO3" s="6"/>
      <c r="AP3" s="4"/>
      <c r="AQ3" s="4"/>
      <c r="AR3" s="4"/>
      <c r="AS3" s="4"/>
      <c r="AT3" s="5"/>
      <c r="AU3" s="6"/>
      <c r="AV3" s="7"/>
    </row>
    <row r="4" ht="20.25" customHeight="1">
      <c r="A4" s="19" t="s">
        <v>6</v>
      </c>
      <c r="P4" s="11"/>
      <c r="Q4" s="11"/>
      <c r="R4" s="11"/>
      <c r="S4" s="11"/>
      <c r="T4" s="11"/>
      <c r="U4" s="11"/>
      <c r="V4" s="11"/>
      <c r="W4" s="11"/>
      <c r="X4" s="11"/>
      <c r="Y4" s="11"/>
      <c r="Z4" s="11"/>
      <c r="AA4" s="11"/>
      <c r="AB4" s="11"/>
      <c r="AC4" s="11"/>
      <c r="AD4" s="11"/>
      <c r="AE4" s="11"/>
      <c r="AF4" s="14"/>
      <c r="AG4" s="15"/>
      <c r="AH4" s="11"/>
      <c r="AI4" s="11"/>
      <c r="AJ4" s="11"/>
      <c r="AK4" s="11"/>
      <c r="AL4" s="11"/>
      <c r="AM4" s="11"/>
      <c r="AN4" s="11"/>
      <c r="AO4" s="4"/>
      <c r="AP4" s="4"/>
      <c r="AQ4" s="4"/>
      <c r="AR4" s="4"/>
      <c r="AS4" s="4"/>
      <c r="AT4" s="5"/>
      <c r="AU4" s="6"/>
      <c r="AV4" s="7"/>
    </row>
    <row r="5" ht="36.75" customHeight="1">
      <c r="A5" s="20" t="s">
        <v>7</v>
      </c>
      <c r="B5" s="21" t="s">
        <v>8</v>
      </c>
      <c r="C5" s="22" t="s">
        <v>9</v>
      </c>
      <c r="D5" s="23" t="s">
        <v>10</v>
      </c>
      <c r="E5" s="24"/>
      <c r="F5" s="25"/>
      <c r="G5" s="26" t="s">
        <v>11</v>
      </c>
      <c r="H5" s="27" t="s">
        <v>12</v>
      </c>
      <c r="I5" s="27" t="s">
        <v>13</v>
      </c>
      <c r="J5" s="28" t="s">
        <v>14</v>
      </c>
      <c r="K5" s="29" t="s">
        <v>15</v>
      </c>
      <c r="L5" s="30"/>
      <c r="M5" s="31" t="s">
        <v>16</v>
      </c>
      <c r="N5" s="24"/>
      <c r="O5" s="24"/>
      <c r="P5" s="25"/>
      <c r="Q5" s="32" t="s">
        <v>17</v>
      </c>
      <c r="R5" s="33"/>
      <c r="S5" s="34" t="s">
        <v>18</v>
      </c>
      <c r="T5" s="24"/>
      <c r="U5" s="24"/>
      <c r="V5" s="33"/>
      <c r="W5" s="35" t="s">
        <v>19</v>
      </c>
      <c r="X5" s="33"/>
      <c r="Y5" s="36" t="s">
        <v>20</v>
      </c>
      <c r="Z5" s="24"/>
      <c r="AA5" s="24"/>
      <c r="AB5" s="24"/>
      <c r="AC5" s="24"/>
      <c r="AD5" s="25"/>
      <c r="AE5" s="37" t="s">
        <v>21</v>
      </c>
      <c r="AF5" s="37" t="s">
        <v>22</v>
      </c>
      <c r="AG5" s="38" t="s">
        <v>23</v>
      </c>
      <c r="AH5" s="39"/>
      <c r="AI5" s="39"/>
      <c r="AJ5" s="39"/>
      <c r="AK5" s="39"/>
      <c r="AL5" s="39"/>
      <c r="AM5" s="30"/>
      <c r="AN5" s="40" t="s">
        <v>24</v>
      </c>
      <c r="AO5" s="41" t="s">
        <v>25</v>
      </c>
      <c r="AP5" s="41" t="s">
        <v>26</v>
      </c>
      <c r="AQ5" s="41" t="s">
        <v>27</v>
      </c>
      <c r="AR5" s="42" t="s">
        <v>28</v>
      </c>
      <c r="AS5" s="25"/>
      <c r="AT5" s="41" t="s">
        <v>29</v>
      </c>
      <c r="AU5" s="6"/>
      <c r="AV5" s="7"/>
    </row>
    <row r="6" ht="60.0" customHeight="1">
      <c r="A6" s="43"/>
      <c r="B6" s="44"/>
      <c r="C6" s="45"/>
      <c r="D6" s="46" t="s">
        <v>30</v>
      </c>
      <c r="E6" s="46" t="s">
        <v>31</v>
      </c>
      <c r="F6" s="46" t="s">
        <v>32</v>
      </c>
      <c r="G6" s="47"/>
      <c r="H6" s="44"/>
      <c r="I6" s="44"/>
      <c r="J6" s="44"/>
      <c r="K6" s="48" t="s">
        <v>15</v>
      </c>
      <c r="L6" s="48" t="s">
        <v>33</v>
      </c>
      <c r="M6" s="49" t="s">
        <v>16</v>
      </c>
      <c r="N6" s="50" t="s">
        <v>34</v>
      </c>
      <c r="O6" s="50" t="s">
        <v>35</v>
      </c>
      <c r="P6" s="51" t="s">
        <v>36</v>
      </c>
      <c r="Q6" s="52" t="s">
        <v>37</v>
      </c>
      <c r="R6" s="52" t="s">
        <v>38</v>
      </c>
      <c r="S6" s="53" t="s">
        <v>39</v>
      </c>
      <c r="T6" s="53" t="s">
        <v>40</v>
      </c>
      <c r="U6" s="54" t="s">
        <v>41</v>
      </c>
      <c r="V6" s="54" t="s">
        <v>42</v>
      </c>
      <c r="W6" s="55" t="s">
        <v>43</v>
      </c>
      <c r="X6" s="55" t="s">
        <v>44</v>
      </c>
      <c r="Y6" s="56" t="s">
        <v>45</v>
      </c>
      <c r="Z6" s="56" t="s">
        <v>46</v>
      </c>
      <c r="AA6" s="56" t="s">
        <v>47</v>
      </c>
      <c r="AB6" s="56" t="s">
        <v>43</v>
      </c>
      <c r="AC6" s="56" t="s">
        <v>44</v>
      </c>
      <c r="AD6" s="56" t="s">
        <v>48</v>
      </c>
      <c r="AE6" s="44"/>
      <c r="AF6" s="44"/>
      <c r="AG6" s="50" t="s">
        <v>49</v>
      </c>
      <c r="AH6" s="50" t="s">
        <v>45</v>
      </c>
      <c r="AI6" s="50" t="s">
        <v>46</v>
      </c>
      <c r="AJ6" s="50" t="s">
        <v>47</v>
      </c>
      <c r="AK6" s="50" t="s">
        <v>43</v>
      </c>
      <c r="AL6" s="50" t="s">
        <v>44</v>
      </c>
      <c r="AM6" s="50" t="s">
        <v>48</v>
      </c>
      <c r="AN6" s="57"/>
      <c r="AO6" s="57"/>
      <c r="AP6" s="43"/>
      <c r="AQ6" s="43"/>
      <c r="AR6" s="58" t="s">
        <v>50</v>
      </c>
      <c r="AS6" s="58" t="s">
        <v>51</v>
      </c>
      <c r="AT6" s="43"/>
      <c r="AU6" s="6"/>
      <c r="AV6" s="7"/>
    </row>
    <row r="7" ht="29.25" customHeight="1">
      <c r="A7" s="59" t="s">
        <v>52</v>
      </c>
      <c r="B7" s="59" t="s">
        <v>53</v>
      </c>
      <c r="C7" s="59" t="s">
        <v>54</v>
      </c>
      <c r="D7" s="59">
        <v>1.0</v>
      </c>
      <c r="E7" s="59">
        <v>1.0</v>
      </c>
      <c r="F7" s="59">
        <v>1990.0</v>
      </c>
      <c r="G7" s="60" t="s">
        <v>55</v>
      </c>
      <c r="H7" s="60" t="s">
        <v>56</v>
      </c>
      <c r="I7" s="61" t="s">
        <v>57</v>
      </c>
      <c r="J7" s="60"/>
      <c r="K7" s="60" t="s">
        <v>58</v>
      </c>
      <c r="L7" s="60" t="s">
        <v>59</v>
      </c>
      <c r="M7" s="59" t="s">
        <v>60</v>
      </c>
      <c r="N7" s="60" t="s">
        <v>61</v>
      </c>
      <c r="O7" s="60" t="s">
        <v>62</v>
      </c>
      <c r="P7" s="59"/>
      <c r="Q7" s="59" t="s">
        <v>37</v>
      </c>
      <c r="R7" s="59" t="s">
        <v>63</v>
      </c>
      <c r="S7" s="62" t="str">
        <f>IF(C7="Nữ","Đội nữ 3 người",IF(C7="Nam","Đội nam 3 người",""))</f>
        <v>Đội nam 3 người</v>
      </c>
      <c r="T7" s="63" t="s">
        <v>64</v>
      </c>
      <c r="U7" s="63" t="s">
        <v>65</v>
      </c>
      <c r="V7" s="63" t="s">
        <v>66</v>
      </c>
      <c r="W7" s="59" t="s">
        <v>64</v>
      </c>
      <c r="X7" s="59"/>
      <c r="Y7" s="64" t="s">
        <v>67</v>
      </c>
      <c r="Z7" s="64" t="s">
        <v>67</v>
      </c>
      <c r="AA7" s="64" t="s">
        <v>67</v>
      </c>
      <c r="AB7" s="64" t="s">
        <v>67</v>
      </c>
      <c r="AC7" s="64" t="s">
        <v>67</v>
      </c>
      <c r="AD7" s="64" t="s">
        <v>67</v>
      </c>
      <c r="AE7" s="60"/>
      <c r="AF7" s="60" t="s">
        <v>58</v>
      </c>
      <c r="AG7" s="63" t="s">
        <v>68</v>
      </c>
      <c r="AH7" s="65" t="s">
        <v>64</v>
      </c>
      <c r="AI7" s="65" t="s">
        <v>64</v>
      </c>
      <c r="AJ7" s="65" t="s">
        <v>64</v>
      </c>
      <c r="AK7" s="65" t="s">
        <v>64</v>
      </c>
      <c r="AL7" s="65" t="s">
        <v>64</v>
      </c>
      <c r="AM7" s="65" t="s">
        <v>64</v>
      </c>
      <c r="AN7" s="59" t="str">
        <f>IF(COUNTIF(T7:T8,"X")&gt;0,"VĐV","Khác")</f>
        <v>VĐV</v>
      </c>
      <c r="AO7" s="66">
        <f t="array" ref="AO7">IFERROR(IF(AND(K7="Có",Q7="1 Kyu"),1000,IF(AND(K7="Không",Q7="1 Kyu"),2000,0)),"")+IFERROR(IFS(AND(K7="Có",R7="1 Dan"),1500,AND(K7="Không",R7="1 Dan"),2500,AND(K7="Có",R7="2 Dan"),2200,AND(K7="Không",R7="2 Dan"),4200,AND(K7="Có",R7="3 Dan"),3000,AND(K7="Không",R7="3 Dan"),5000,AND(K7="Có",R7="4 Dan"),4500,AND(K7="Không",R7="4 Dan"),6500,AND(K7="Có",R7="5 Dan"),6000,AND(K7="Không",R7="5 Dan"),8000),0)</f>
        <v>2500</v>
      </c>
      <c r="AP7" s="66">
        <f t="array" ref="AP7">IFERROR(IFS(AND(COUNTIF(T7:T8,"X")=1,K7="Có",AB7="Phòng đơn"),1900,AND(COUNTIF(T7:T8,"X")=1,K7="Có",AB7="Phòng đôi"),1550,AND(COUNTIF(T7:T8,"X")=1,K7="Có",AB7="Phòng ba"),1450,AND(COUNTIF(T7:T8,"X")=2,K7="Có",AB7="Phòng đơn"),2200,AND(COUNTIF(T7:T8,"X")=2,K7="Có",AB7="Phòng đôi"),1850,AND(COUNTIF(T7:T8,"X")=2,K7="Có",AB7="Phòng ba"),1750,
AND(COUNTIF(T7:T8,"X")=1,K7="Không",AB7="Phòng đơn"),2400,AND(COUNTIF(T7:T8,"X")=1,K7="Không",AB7="Phòng đôi"),1950,AND(COUNTIF(T7:T8,"X")=1,K7="Không",AB7="Phòng ba"),1850,AND(COUNTIF(T7:T8,"X")=2,K7="Không",AB7="Phòng đơn"),2800,AND(COUNTIF(T7:T8,"X")=2,K7="Không",AB7="Phòng đôi"),2350,AND(COUNTIF(T7:T8,"X")=2,K7="Không",AB7="Phòng ba"),2250),0)</f>
        <v>1850</v>
      </c>
      <c r="AQ7" s="66">
        <f>COUNTIF(Y7:AD8,"Phòng đơn")*700
+COUNTIF(Y7:AD8,"Phòng đôi")*350
+COUNTIF(Y7:AD8,"Phòng ba")*250
-IF(AND(COUNTIF(T7:T8,"X")&gt;0,AB7&lt;&gt;""),IF(AB7="Phòng đơn",700,IF(AB7="Phòng đôi",350,IF(AB7="Phòng ba",250,0))),0)</f>
        <v>1750</v>
      </c>
      <c r="AR7" s="60">
        <f>COUNTIF(AH7:AM7,"X")*120
+COUNTIF(AH8:AM8,"X")*200
-COUNTIF(T7:T8,"X")*120
-IF(COUNTA(Q7:R8)&gt;0,120,0)</f>
        <v>1360</v>
      </c>
      <c r="AS7" s="66">
        <f>IF(COUNTIF(T7:T8,"X")&gt;0,0,IF(AND(AF7="Có",COUNTIF(T7:T8,"X")=0),700,0))</f>
        <v>0</v>
      </c>
      <c r="AT7" s="66">
        <f>SUM(AO7:AS8)</f>
        <v>7460</v>
      </c>
      <c r="AU7" s="67"/>
      <c r="AV7" s="68"/>
    </row>
    <row r="8" ht="29.25" customHeight="1">
      <c r="A8" s="57"/>
      <c r="B8" s="57"/>
      <c r="C8" s="57"/>
      <c r="D8" s="57"/>
      <c r="E8" s="57"/>
      <c r="F8" s="57"/>
      <c r="G8" s="57"/>
      <c r="H8" s="57"/>
      <c r="I8" s="57"/>
      <c r="J8" s="57"/>
      <c r="K8" s="57"/>
      <c r="L8" s="57"/>
      <c r="M8" s="57"/>
      <c r="N8" s="57"/>
      <c r="O8" s="57"/>
      <c r="P8" s="57"/>
      <c r="Q8" s="57"/>
      <c r="R8" s="57"/>
      <c r="S8" s="62" t="str">
        <f>IF(C7="Nữ","Đội nữ 5 người",IF(C7="Nam","Đội nam 5 người",""))</f>
        <v>Đội nam 5 người</v>
      </c>
      <c r="T8" s="63" t="s">
        <v>64</v>
      </c>
      <c r="U8" s="63" t="s">
        <v>69</v>
      </c>
      <c r="V8" s="63" t="s">
        <v>70</v>
      </c>
      <c r="W8" s="57"/>
      <c r="X8" s="57"/>
      <c r="Y8" s="57"/>
      <c r="Z8" s="57"/>
      <c r="AA8" s="57"/>
      <c r="AB8" s="57"/>
      <c r="AC8" s="57"/>
      <c r="AD8" s="57"/>
      <c r="AE8" s="57"/>
      <c r="AF8" s="57"/>
      <c r="AG8" s="63" t="s">
        <v>71</v>
      </c>
      <c r="AH8" s="65" t="s">
        <v>64</v>
      </c>
      <c r="AI8" s="65" t="s">
        <v>64</v>
      </c>
      <c r="AJ8" s="65" t="s">
        <v>64</v>
      </c>
      <c r="AK8" s="69" t="s">
        <v>51</v>
      </c>
      <c r="AL8" s="65" t="s">
        <v>64</v>
      </c>
      <c r="AM8" s="65" t="s">
        <v>64</v>
      </c>
      <c r="AN8" s="57"/>
      <c r="AO8" s="57"/>
      <c r="AP8" s="57"/>
      <c r="AQ8" s="57"/>
      <c r="AR8" s="57"/>
      <c r="AS8" s="57"/>
      <c r="AT8" s="57"/>
      <c r="AU8" s="67"/>
      <c r="AV8" s="68"/>
    </row>
    <row r="9" ht="29.25" customHeight="1">
      <c r="A9" s="70">
        <f>INT((ROW()-9)/2)+1</f>
        <v>1</v>
      </c>
      <c r="B9" s="71"/>
      <c r="C9" s="71"/>
      <c r="D9" s="71"/>
      <c r="E9" s="71"/>
      <c r="F9" s="71"/>
      <c r="G9" s="72"/>
      <c r="H9" s="72"/>
      <c r="I9" s="73"/>
      <c r="J9" s="73"/>
      <c r="K9" s="72"/>
      <c r="L9" s="73"/>
      <c r="M9" s="71"/>
      <c r="N9" s="73"/>
      <c r="O9" s="73"/>
      <c r="P9" s="70"/>
      <c r="Q9" s="70"/>
      <c r="R9" s="70"/>
      <c r="S9" s="74" t="str">
        <f>IF(C9="Nữ","Đội nữ 3 người",IF(C9="Nam","Đội nam 3 người",""))</f>
        <v/>
      </c>
      <c r="T9" s="75"/>
      <c r="U9" s="75"/>
      <c r="V9" s="75"/>
      <c r="W9" s="70"/>
      <c r="X9" s="70"/>
      <c r="Y9" s="76"/>
      <c r="Z9" s="76"/>
      <c r="AA9" s="76"/>
      <c r="AB9" s="76"/>
      <c r="AC9" s="76"/>
      <c r="AD9" s="76"/>
      <c r="AE9" s="73"/>
      <c r="AF9" s="72"/>
      <c r="AG9" s="77" t="s">
        <v>68</v>
      </c>
      <c r="AH9" s="78"/>
      <c r="AI9" s="78"/>
      <c r="AJ9" s="78"/>
      <c r="AK9" s="78"/>
      <c r="AL9" s="78"/>
      <c r="AM9" s="78"/>
      <c r="AN9" s="70" t="str">
        <f>IF(COUNTIF(T9:T10,"X")&gt;0,"VĐV","Khác")</f>
        <v>Khác</v>
      </c>
      <c r="AO9" s="79">
        <f t="array" ref="AO9">IFERROR(IF(AND(K9="Có",Q9="1 Kyu"),1000,IF(AND(K9="Không",Q9="1 Kyu"),2000,0)),"")+IFERROR(IFS(AND(K9="Có",R9="1 Dan"),1500,AND(K9="Không",R9="1 Dan"),2500,AND(K9="Có",R9="2 Dan"),2200,AND(K9="Không",R9="2 Dan"),4200,AND(K9="Có",R9="3 Dan"),3000,AND(K9="Không",R9="3 Dan"),5000,AND(K9="Có",R9="4 Dan"),4500,AND(K9="Không",R9="4 Dan"),6500,AND(K9="Có",R9="5 Dan"),6000,AND(K9="Không",R9="5 Dan"),8000),0)</f>
        <v>0</v>
      </c>
      <c r="AP9" s="80">
        <f t="array" ref="AP9">IFERROR(IFS(AND(COUNTIF(T9:T10,"X")=1,K9="Có",AB9="Phòng đơn"),1900,AND(COUNTIF(T9:T10,"X")=1,K9="Có",AB9="Phòng đôi"),1550,AND(COUNTIF(T9:T10,"X")=1,K9="Có",AB9="Phòng ba"),1450,AND(COUNTIF(T9:T10,"X")=2,K9="Có",AB9="Phòng đơn"),2200,AND(COUNTIF(T9:T10,"X")=2,K9="Có",AB9="Phòng đôi"),1850,AND(COUNTIF(T9:T10,"X")=2,K9="Có",AB9="Phòng ba"),1750,
AND(COUNTIF(T9:T10,"X")=1,K9="Không",AB9="Phòng đơn"),2400,AND(COUNTIF(T9:T10,"X")=1,K9="Không",AB9="Phòng đôi"),1950,AND(COUNTIF(T9:T10,"X")=1,K9="Không",AB9="Phòng ba"),1850,AND(COUNTIF(T9:T10,"X")=2,K9="Không",AB9="Phòng đơn"),2800,AND(COUNTIF(T9:T10,"X")=2,K9="Không",AB9="Phòng đôi"),2350,AND(COUNTIF(T9:T10,"X")=2,K9="Không",AB9="Phòng ba"),2250),0)</f>
        <v>0</v>
      </c>
      <c r="AQ9" s="80">
        <f>COUNTIF(Y9:AD10,"Phòng đơn")*700
+COUNTIF(Y9:AD10,"Phòng đôi")*350
+COUNTIF(Y9:AD10,"Phòng ba")*250
-IF(AND(COUNTIF(T9:T10,"X")&gt;0,AB9&lt;&gt;""),IF(AB9="Phòng đơn",700,IF(AB9="Phòng đôi",350,IF(AB9="Phòng ba",250,0))),0)</f>
        <v>0</v>
      </c>
      <c r="AR9" s="73">
        <f>COUNTIF(AH9:AM9,"X")*120
+COUNTIF(AH10:AM10,"X")*200
-COUNTIF(T9:T10,"X")*120
-IF(COUNTA(Q9:R10)&gt;0,120,0)</f>
        <v>0</v>
      </c>
      <c r="AS9" s="80">
        <f>IF(COUNTIF(T9:T10,"X")&gt;0,0,IF(AND(AF9="Có",COUNTIF(T9:T10,"X")=0),700,0))</f>
        <v>0</v>
      </c>
      <c r="AT9" s="80">
        <f>SUM(AO9:AS10)</f>
        <v>0</v>
      </c>
      <c r="AU9" s="67"/>
      <c r="AV9" s="68"/>
    </row>
    <row r="10" ht="29.25" customHeight="1">
      <c r="A10" s="57"/>
      <c r="B10" s="57"/>
      <c r="C10" s="57"/>
      <c r="D10" s="57"/>
      <c r="E10" s="57"/>
      <c r="F10" s="57"/>
      <c r="G10" s="57"/>
      <c r="H10" s="57"/>
      <c r="I10" s="57"/>
      <c r="J10" s="57"/>
      <c r="K10" s="57"/>
      <c r="L10" s="57"/>
      <c r="M10" s="57"/>
      <c r="N10" s="57"/>
      <c r="O10" s="57"/>
      <c r="P10" s="57"/>
      <c r="Q10" s="57"/>
      <c r="R10" s="57"/>
      <c r="S10" s="74" t="str">
        <f>IF(C9="Nữ","Đội nữ 5 người",IF(C9="Nam","Đội nam 5 người",""))</f>
        <v/>
      </c>
      <c r="T10" s="75"/>
      <c r="U10" s="75"/>
      <c r="V10" s="75"/>
      <c r="W10" s="57"/>
      <c r="X10" s="57"/>
      <c r="Y10" s="57"/>
      <c r="Z10" s="57"/>
      <c r="AA10" s="57"/>
      <c r="AB10" s="57"/>
      <c r="AC10" s="57"/>
      <c r="AD10" s="57"/>
      <c r="AE10" s="57"/>
      <c r="AF10" s="57"/>
      <c r="AG10" s="77" t="s">
        <v>71</v>
      </c>
      <c r="AH10" s="78"/>
      <c r="AI10" s="78"/>
      <c r="AJ10" s="78"/>
      <c r="AK10" s="69" t="s">
        <v>51</v>
      </c>
      <c r="AL10" s="78"/>
      <c r="AM10" s="78"/>
      <c r="AN10" s="57"/>
      <c r="AO10" s="57"/>
      <c r="AP10" s="57"/>
      <c r="AQ10" s="57"/>
      <c r="AR10" s="57"/>
      <c r="AS10" s="57"/>
      <c r="AT10" s="57"/>
      <c r="AU10" s="67"/>
      <c r="AV10" s="68"/>
    </row>
    <row r="11" ht="29.25" customHeight="1">
      <c r="A11" s="70">
        <f>INT((ROW()-9)/2)+1</f>
        <v>2</v>
      </c>
      <c r="B11" s="70"/>
      <c r="C11" s="70"/>
      <c r="D11" s="70"/>
      <c r="E11" s="70"/>
      <c r="F11" s="70"/>
      <c r="G11" s="73"/>
      <c r="H11" s="73"/>
      <c r="I11" s="73"/>
      <c r="J11" s="73"/>
      <c r="K11" s="73"/>
      <c r="L11" s="73"/>
      <c r="M11" s="70"/>
      <c r="N11" s="73"/>
      <c r="O11" s="73"/>
      <c r="P11" s="70"/>
      <c r="Q11" s="70"/>
      <c r="R11" s="70"/>
      <c r="S11" s="74" t="str">
        <f>IF(C11="Nữ","Đội nữ 3 người",IF(C11="Nam","Đội nam 3 người",""))</f>
        <v/>
      </c>
      <c r="T11" s="77"/>
      <c r="U11" s="77"/>
      <c r="V11" s="77"/>
      <c r="W11" s="70"/>
      <c r="X11" s="70"/>
      <c r="Y11" s="81"/>
      <c r="Z11" s="81"/>
      <c r="AA11" s="81"/>
      <c r="AB11" s="81"/>
      <c r="AC11" s="81"/>
      <c r="AD11" s="81"/>
      <c r="AE11" s="73"/>
      <c r="AF11" s="73"/>
      <c r="AG11" s="77" t="s">
        <v>68</v>
      </c>
      <c r="AH11" s="82"/>
      <c r="AI11" s="82"/>
      <c r="AJ11" s="82"/>
      <c r="AK11" s="82"/>
      <c r="AL11" s="82"/>
      <c r="AM11" s="82"/>
      <c r="AN11" s="70" t="str">
        <f>IF(COUNTIF(T11:T12,"X")&gt;0,"VĐV","Khác")</f>
        <v>Khác</v>
      </c>
      <c r="AO11" s="79">
        <f t="array" ref="AO11">IFERROR(IF(AND(K11="Có",Q11="1 Kyu"),1000,IF(AND(K11="Không",Q11="1 Kyu"),2000,0)),"")+IFERROR(IFS(AND(K11="Có",R11="1 Dan"),1500,AND(K11="Không",R11="1 Dan"),2500,AND(K11="Có",R11="2 Dan"),2200,AND(K11="Không",R11="2 Dan"),4200,AND(K11="Có",R11="3 Dan"),3000,AND(K11="Không",R11="3 Dan"),5000,AND(K11="Có",R11="4 Dan"),4500,AND(K11="Không",R11="4 Dan"),6500,AND(K11="Có",R11="5 Dan"),6000,AND(K11="Không",R11="5 Dan"),8000),0)</f>
        <v>0</v>
      </c>
      <c r="AP11" s="80">
        <f t="array" ref="AP11">IFERROR(IFS(AND(COUNTIF(T11:T12,"X")=1,K11="Có",AB11="Phòng đơn"),1900,AND(COUNTIF(T11:T12,"X")=1,K11="Có",AB11="Phòng đôi"),1550,AND(COUNTIF(T11:T12,"X")=1,K11="Có",AB11="Phòng ba"),1450,AND(COUNTIF(T11:T12,"X")=2,K11="Có",AB11="Phòng đơn"),2200,AND(COUNTIF(T11:T12,"X")=2,K11="Có",AB11="Phòng đôi"),1850,AND(COUNTIF(T11:T12,"X")=2,K11="Có",AB11="Phòng ba"),1750,
AND(COUNTIF(T11:T12,"X")=1,K11="Không",AB11="Phòng đơn"),2400,AND(COUNTIF(T11:T12,"X")=1,K11="Không",AB11="Phòng đôi"),1950,AND(COUNTIF(T11:T12,"X")=1,K11="Không",AB11="Phòng ba"),1850,AND(COUNTIF(T11:T12,"X")=2,K11="Không",AB11="Phòng đơn"),2800,AND(COUNTIF(T11:T12,"X")=2,K11="Không",AB11="Phòng đôi"),2350,AND(COUNTIF(T11:T12,"X")=2,K11="Không",AB11="Phòng ba"),2250),0)</f>
        <v>0</v>
      </c>
      <c r="AQ11" s="80">
        <f>COUNTIF(Y11:AD12,"Phòng đơn")*700
+COUNTIF(Y11:AD12,"Phòng đôi")*350
+COUNTIF(Y11:AD12,"Phòng ba")*250
-IF(AND(COUNTIF(T11:T12,"X")&gt;0,AB11&lt;&gt;""),IF(AB11="Phòng đơn",700,IF(AB11="Phòng đôi",350,IF(AB11="Phòng ba",250,0))),0)</f>
        <v>0</v>
      </c>
      <c r="AR11" s="73">
        <f>COUNTIF(AH11:AM11,"X")*120
+COUNTIF(AH12:AM12,"X")*200
-COUNTIF(T11:T12,"X")*120
-IF(COUNTA(Q11:R12)&gt;0,120,0)</f>
        <v>0</v>
      </c>
      <c r="AS11" s="80">
        <f>IF(COUNTIF(T11:T12,"X")&gt;0,0,IF(AND(AF11="Có",COUNTIF(T11:T12,"X")=0),700,0))</f>
        <v>0</v>
      </c>
      <c r="AT11" s="80">
        <f>SUM(AO11:AS12)</f>
        <v>0</v>
      </c>
      <c r="AU11" s="67"/>
      <c r="AV11" s="68"/>
    </row>
    <row r="12" ht="29.25" customHeight="1">
      <c r="A12" s="57"/>
      <c r="B12" s="57"/>
      <c r="C12" s="57"/>
      <c r="D12" s="57"/>
      <c r="E12" s="57"/>
      <c r="F12" s="57"/>
      <c r="G12" s="57"/>
      <c r="H12" s="57"/>
      <c r="I12" s="57"/>
      <c r="J12" s="57"/>
      <c r="K12" s="57"/>
      <c r="L12" s="57"/>
      <c r="M12" s="57"/>
      <c r="N12" s="57"/>
      <c r="O12" s="57"/>
      <c r="P12" s="57"/>
      <c r="Q12" s="57"/>
      <c r="R12" s="57"/>
      <c r="S12" s="74" t="str">
        <f>IF(C11="Nữ","Đội nữ 5 người",IF(C11="Nam","Đội nam 5 người",""))</f>
        <v/>
      </c>
      <c r="T12" s="77"/>
      <c r="U12" s="77"/>
      <c r="V12" s="77"/>
      <c r="W12" s="57"/>
      <c r="X12" s="57"/>
      <c r="Y12" s="57"/>
      <c r="Z12" s="57"/>
      <c r="AA12" s="57"/>
      <c r="AB12" s="57"/>
      <c r="AC12" s="57"/>
      <c r="AD12" s="57"/>
      <c r="AE12" s="57"/>
      <c r="AF12" s="57"/>
      <c r="AG12" s="77" t="s">
        <v>71</v>
      </c>
      <c r="AH12" s="82"/>
      <c r="AI12" s="82"/>
      <c r="AJ12" s="82"/>
      <c r="AK12" s="69" t="s">
        <v>51</v>
      </c>
      <c r="AL12" s="82"/>
      <c r="AM12" s="82"/>
      <c r="AN12" s="57"/>
      <c r="AO12" s="57"/>
      <c r="AP12" s="57"/>
      <c r="AQ12" s="57"/>
      <c r="AR12" s="57"/>
      <c r="AS12" s="57"/>
      <c r="AT12" s="57"/>
      <c r="AU12" s="67"/>
      <c r="AV12" s="68"/>
    </row>
    <row r="13" ht="29.25" customHeight="1">
      <c r="A13" s="70">
        <f>INT((ROW()-9)/2)+1</f>
        <v>3</v>
      </c>
      <c r="B13" s="70"/>
      <c r="C13" s="70"/>
      <c r="D13" s="70"/>
      <c r="E13" s="70"/>
      <c r="F13" s="70"/>
      <c r="G13" s="73"/>
      <c r="H13" s="73"/>
      <c r="I13" s="73"/>
      <c r="J13" s="73"/>
      <c r="K13" s="73"/>
      <c r="L13" s="73"/>
      <c r="M13" s="70"/>
      <c r="N13" s="73"/>
      <c r="O13" s="73"/>
      <c r="P13" s="70"/>
      <c r="Q13" s="70"/>
      <c r="R13" s="70"/>
      <c r="S13" s="74" t="str">
        <f>IF(C13="Nữ","Đội nữ 3 người",IF(C13="Nam","Đội nam 3 người",""))</f>
        <v/>
      </c>
      <c r="T13" s="77"/>
      <c r="U13" s="77"/>
      <c r="V13" s="77"/>
      <c r="W13" s="70"/>
      <c r="X13" s="70"/>
      <c r="Y13" s="81"/>
      <c r="Z13" s="81"/>
      <c r="AA13" s="81"/>
      <c r="AB13" s="81"/>
      <c r="AC13" s="81"/>
      <c r="AD13" s="81"/>
      <c r="AE13" s="73"/>
      <c r="AF13" s="73"/>
      <c r="AG13" s="77" t="s">
        <v>68</v>
      </c>
      <c r="AH13" s="82"/>
      <c r="AI13" s="82"/>
      <c r="AJ13" s="82"/>
      <c r="AK13" s="82"/>
      <c r="AL13" s="82"/>
      <c r="AM13" s="82"/>
      <c r="AN13" s="70" t="str">
        <f>IF(COUNTIF(T13:T14,"X")&gt;0,"VĐV","Khác")</f>
        <v>Khác</v>
      </c>
      <c r="AO13" s="79">
        <f t="array" ref="AO13">IFERROR(IF(AND(K13="Có",Q13="1 Kyu"),1000,IF(AND(K13="Không",Q13="1 Kyu"),2000,0)),"")+IFERROR(IFS(AND(K13="Có",R13="1 Dan"),1500,AND(K13="Không",R13="1 Dan"),2500,AND(K13="Có",R13="2 Dan"),2200,AND(K13="Không",R13="2 Dan"),4200,AND(K13="Có",R13="3 Dan"),3000,AND(K13="Không",R13="3 Dan"),5000,AND(K13="Có",R13="4 Dan"),4500,AND(K13="Không",R13="4 Dan"),6500,AND(K13="Có",R13="5 Dan"),6000,AND(K13="Không",R13="5 Dan"),8000),0)</f>
        <v>0</v>
      </c>
      <c r="AP13" s="80">
        <f t="array" ref="AP13">IFERROR(IFS(AND(COUNTIF(T13:T14,"X")=1,K13="Có",AB13="Phòng đơn"),1900,AND(COUNTIF(T13:T14,"X")=1,K13="Có",AB13="Phòng đôi"),1550,AND(COUNTIF(T13:T14,"X")=1,K13="Có",AB13="Phòng ba"),1450,AND(COUNTIF(T13:T14,"X")=2,K13="Có",AB13="Phòng đơn"),2200,AND(COUNTIF(T13:T14,"X")=2,K13="Có",AB13="Phòng đôi"),1850,AND(COUNTIF(T13:T14,"X")=2,K13="Có",AB13="Phòng ba"),1750,
AND(COUNTIF(T13:T14,"X")=1,K13="Không",AB13="Phòng đơn"),2400,AND(COUNTIF(T13:T14,"X")=1,K13="Không",AB13="Phòng đôi"),1950,AND(COUNTIF(T13:T14,"X")=1,K13="Không",AB13="Phòng ba"),1850,AND(COUNTIF(T13:T14,"X")=2,K13="Không",AB13="Phòng đơn"),2800,AND(COUNTIF(T13:T14,"X")=2,K13="Không",AB13="Phòng đôi"),2350,AND(COUNTIF(T13:T14,"X")=2,K13="Không",AB13="Phòng ba"),2250),0)</f>
        <v>0</v>
      </c>
      <c r="AQ13" s="80">
        <f>COUNTIF(Y13:AD14,"Phòng đơn")*700
+COUNTIF(Y13:AD14,"Phòng đôi")*350
+COUNTIF(Y13:AD14,"Phòng ba")*250
-IF(AND(COUNTIF(T13:T14,"X")&gt;0,AB13&lt;&gt;""),IF(AB13="Phòng đơn",700,IF(AB13="Phòng đôi",350,IF(AB13="Phòng ba",250,0))),0)</f>
        <v>0</v>
      </c>
      <c r="AR13" s="73">
        <f>COUNTIF(AH13:AM13,"X")*120
+COUNTIF(AH14:AM14,"X")*200
-COUNTIF(T13:T14,"X")*120
-IF(COUNTA(Q13:R14)&gt;0,120,0)</f>
        <v>0</v>
      </c>
      <c r="AS13" s="80">
        <f>IF(COUNTIF(T13:T14,"X")&gt;0,0,IF(AND(AF13="Có",COUNTIF(T13:T14,"X")=0),700,0))</f>
        <v>0</v>
      </c>
      <c r="AT13" s="80">
        <f>SUM(AO13:AS14)</f>
        <v>0</v>
      </c>
      <c r="AU13" s="67"/>
      <c r="AV13" s="68"/>
    </row>
    <row r="14" ht="29.25" customHeight="1">
      <c r="A14" s="57"/>
      <c r="B14" s="57"/>
      <c r="C14" s="57"/>
      <c r="D14" s="57"/>
      <c r="E14" s="57"/>
      <c r="F14" s="57"/>
      <c r="G14" s="57"/>
      <c r="H14" s="57"/>
      <c r="I14" s="57"/>
      <c r="J14" s="57"/>
      <c r="K14" s="57"/>
      <c r="L14" s="57"/>
      <c r="M14" s="57"/>
      <c r="N14" s="57"/>
      <c r="O14" s="57"/>
      <c r="P14" s="57"/>
      <c r="Q14" s="57"/>
      <c r="R14" s="57"/>
      <c r="S14" s="74" t="str">
        <f>IF(C13="Nữ","Đội nữ 5 người",IF(C13="Nam","Đội nam 5 người",""))</f>
        <v/>
      </c>
      <c r="T14" s="77"/>
      <c r="U14" s="77"/>
      <c r="V14" s="77"/>
      <c r="W14" s="57"/>
      <c r="X14" s="57"/>
      <c r="Y14" s="57"/>
      <c r="Z14" s="57"/>
      <c r="AA14" s="57"/>
      <c r="AB14" s="57"/>
      <c r="AC14" s="57"/>
      <c r="AD14" s="57"/>
      <c r="AE14" s="57"/>
      <c r="AF14" s="57"/>
      <c r="AG14" s="77" t="s">
        <v>71</v>
      </c>
      <c r="AH14" s="82"/>
      <c r="AI14" s="82"/>
      <c r="AJ14" s="82"/>
      <c r="AK14" s="69" t="s">
        <v>51</v>
      </c>
      <c r="AL14" s="82"/>
      <c r="AM14" s="82"/>
      <c r="AN14" s="57"/>
      <c r="AO14" s="57"/>
      <c r="AP14" s="57"/>
      <c r="AQ14" s="57"/>
      <c r="AR14" s="57"/>
      <c r="AS14" s="57"/>
      <c r="AT14" s="57"/>
      <c r="AU14" s="67"/>
      <c r="AV14" s="68"/>
    </row>
    <row r="15" ht="29.25" customHeight="1">
      <c r="A15" s="70">
        <f>INT((ROW()-9)/2)+1</f>
        <v>4</v>
      </c>
      <c r="B15" s="70"/>
      <c r="C15" s="70"/>
      <c r="D15" s="70"/>
      <c r="E15" s="70"/>
      <c r="F15" s="70"/>
      <c r="G15" s="73"/>
      <c r="H15" s="73"/>
      <c r="I15" s="73"/>
      <c r="J15" s="73"/>
      <c r="K15" s="73"/>
      <c r="L15" s="73"/>
      <c r="M15" s="70"/>
      <c r="N15" s="73"/>
      <c r="O15" s="73"/>
      <c r="P15" s="70"/>
      <c r="Q15" s="70"/>
      <c r="R15" s="70"/>
      <c r="S15" s="74" t="str">
        <f>IF(C15="Nữ","Đội nữ 3 người",IF(C15="Nam","Đội nam 3 người",""))</f>
        <v/>
      </c>
      <c r="T15" s="77"/>
      <c r="U15" s="77"/>
      <c r="V15" s="77"/>
      <c r="W15" s="70"/>
      <c r="X15" s="70"/>
      <c r="Y15" s="81"/>
      <c r="Z15" s="81"/>
      <c r="AA15" s="81"/>
      <c r="AB15" s="81"/>
      <c r="AC15" s="81"/>
      <c r="AD15" s="81"/>
      <c r="AE15" s="73"/>
      <c r="AF15" s="73"/>
      <c r="AG15" s="77" t="s">
        <v>68</v>
      </c>
      <c r="AH15" s="82"/>
      <c r="AI15" s="82"/>
      <c r="AJ15" s="82"/>
      <c r="AK15" s="82"/>
      <c r="AL15" s="82"/>
      <c r="AM15" s="82"/>
      <c r="AN15" s="70" t="str">
        <f>IF(COUNTIF(T15:T16,"X")&gt;0,"VĐV","Khác")</f>
        <v>Khác</v>
      </c>
      <c r="AO15" s="79">
        <f t="array" ref="AO15">IFERROR(IF(AND(K15="Có",Q15="1 Kyu"),1000,IF(AND(K15="Không",Q15="1 Kyu"),2000,0)),"")+IFERROR(IFS(AND(K15="Có",R15="1 Dan"),1500,AND(K15="Không",R15="1 Dan"),2500,AND(K15="Có",R15="2 Dan"),2200,AND(K15="Không",R15="2 Dan"),4200,AND(K15="Có",R15="3 Dan"),3000,AND(K15="Không",R15="3 Dan"),5000,AND(K15="Có",R15="4 Dan"),4500,AND(K15="Không",R15="4 Dan"),6500,AND(K15="Có",R15="5 Dan"),6000,AND(K15="Không",R15="5 Dan"),8000),0)</f>
        <v>0</v>
      </c>
      <c r="AP15" s="80">
        <f t="array" ref="AP15">IFERROR(IFS(AND(COUNTIF(T15:T16,"X")=1,K15="Có",AB15="Phòng đơn"),1900,AND(COUNTIF(T15:T16,"X")=1,K15="Có",AB15="Phòng đôi"),1550,AND(COUNTIF(T15:T16,"X")=1,K15="Có",AB15="Phòng ba"),1450,AND(COUNTIF(T15:T16,"X")=2,K15="Có",AB15="Phòng đơn"),2200,AND(COUNTIF(T15:T16,"X")=2,K15="Có",AB15="Phòng đôi"),1850,AND(COUNTIF(T15:T16,"X")=2,K15="Có",AB15="Phòng ba"),1750,
AND(COUNTIF(T15:T16,"X")=1,K15="Không",AB15="Phòng đơn"),2400,AND(COUNTIF(T15:T16,"X")=1,K15="Không",AB15="Phòng đôi"),1950,AND(COUNTIF(T15:T16,"X")=1,K15="Không",AB15="Phòng ba"),1850,AND(COUNTIF(T15:T16,"X")=2,K15="Không",AB15="Phòng đơn"),2800,AND(COUNTIF(T15:T16,"X")=2,K15="Không",AB15="Phòng đôi"),2350,AND(COUNTIF(T15:T16,"X")=2,K15="Không",AB15="Phòng ba"),2250),0)</f>
        <v>0</v>
      </c>
      <c r="AQ15" s="80">
        <f>COUNTIF(Y15:AD16,"Phòng đơn")*700
+COUNTIF(Y15:AD16,"Phòng đôi")*350
+COUNTIF(Y15:AD16,"Phòng ba")*250
-IF(AND(COUNTIF(T15:T16,"X")&gt;0,AB15&lt;&gt;""),IF(AB15="Phòng đơn",700,IF(AB15="Phòng đôi",350,IF(AB15="Phòng ba",250,0))),0)</f>
        <v>0</v>
      </c>
      <c r="AR15" s="73">
        <f>COUNTIF(AH15:AM15,"X")*120
+COUNTIF(AH16:AM16,"X")*200
-COUNTIF(T15:T16,"X")*120
-IF(COUNTA(Q15:R16)&gt;0,120,0)</f>
        <v>0</v>
      </c>
      <c r="AS15" s="80">
        <f>IF(COUNTIF(T15:T16,"X")&gt;0,0,IF(AND(AF15="Có",COUNTIF(T15:T16,"X")=0),700,0))</f>
        <v>0</v>
      </c>
      <c r="AT15" s="80">
        <f>SUM(AO15:AS16)</f>
        <v>0</v>
      </c>
      <c r="AU15" s="67"/>
      <c r="AV15" s="68"/>
    </row>
    <row r="16" ht="29.25" customHeight="1">
      <c r="A16" s="57"/>
      <c r="B16" s="57"/>
      <c r="C16" s="57"/>
      <c r="D16" s="57"/>
      <c r="E16" s="57"/>
      <c r="F16" s="57"/>
      <c r="G16" s="57"/>
      <c r="H16" s="57"/>
      <c r="I16" s="57"/>
      <c r="J16" s="57"/>
      <c r="K16" s="57"/>
      <c r="L16" s="57"/>
      <c r="M16" s="57"/>
      <c r="N16" s="57"/>
      <c r="O16" s="57"/>
      <c r="P16" s="57"/>
      <c r="Q16" s="57"/>
      <c r="R16" s="57"/>
      <c r="S16" s="74" t="str">
        <f>IF(C15="Nữ","Đội nữ 5 người",IF(C15="Nam","Đội nam 5 người",""))</f>
        <v/>
      </c>
      <c r="T16" s="77"/>
      <c r="U16" s="77"/>
      <c r="V16" s="77"/>
      <c r="W16" s="57"/>
      <c r="X16" s="57"/>
      <c r="Y16" s="57"/>
      <c r="Z16" s="57"/>
      <c r="AA16" s="57"/>
      <c r="AB16" s="57"/>
      <c r="AC16" s="57"/>
      <c r="AD16" s="57"/>
      <c r="AE16" s="57"/>
      <c r="AF16" s="57"/>
      <c r="AG16" s="77" t="s">
        <v>71</v>
      </c>
      <c r="AH16" s="82"/>
      <c r="AI16" s="82"/>
      <c r="AJ16" s="82"/>
      <c r="AK16" s="69" t="s">
        <v>51</v>
      </c>
      <c r="AL16" s="82"/>
      <c r="AM16" s="82"/>
      <c r="AN16" s="57"/>
      <c r="AO16" s="57"/>
      <c r="AP16" s="57"/>
      <c r="AQ16" s="57"/>
      <c r="AR16" s="57"/>
      <c r="AS16" s="57"/>
      <c r="AT16" s="57"/>
      <c r="AU16" s="67"/>
      <c r="AV16" s="68"/>
    </row>
    <row r="17" ht="29.25" customHeight="1">
      <c r="A17" s="70">
        <f>INT((ROW()-9)/2)+1</f>
        <v>5</v>
      </c>
      <c r="B17" s="70"/>
      <c r="C17" s="70"/>
      <c r="D17" s="70"/>
      <c r="E17" s="70"/>
      <c r="F17" s="70"/>
      <c r="G17" s="73"/>
      <c r="H17" s="73"/>
      <c r="I17" s="73"/>
      <c r="J17" s="73"/>
      <c r="K17" s="73"/>
      <c r="L17" s="73"/>
      <c r="M17" s="70"/>
      <c r="N17" s="73"/>
      <c r="O17" s="73"/>
      <c r="P17" s="70"/>
      <c r="Q17" s="70"/>
      <c r="R17" s="70"/>
      <c r="S17" s="74" t="str">
        <f>IF(C17="Nữ","Đội nữ 3 người",IF(C17="Nam","Đội nam 3 người",""))</f>
        <v/>
      </c>
      <c r="T17" s="77"/>
      <c r="U17" s="77"/>
      <c r="V17" s="77"/>
      <c r="W17" s="70"/>
      <c r="X17" s="70"/>
      <c r="Y17" s="81"/>
      <c r="Z17" s="81"/>
      <c r="AA17" s="81"/>
      <c r="AB17" s="81"/>
      <c r="AC17" s="81"/>
      <c r="AD17" s="81"/>
      <c r="AE17" s="73"/>
      <c r="AF17" s="73"/>
      <c r="AG17" s="77" t="s">
        <v>68</v>
      </c>
      <c r="AH17" s="82"/>
      <c r="AI17" s="82"/>
      <c r="AJ17" s="82"/>
      <c r="AK17" s="82"/>
      <c r="AL17" s="82"/>
      <c r="AM17" s="82"/>
      <c r="AN17" s="70" t="str">
        <f>IF(COUNTIF(T17:T18,"X")&gt;0,"VĐV","Khác")</f>
        <v>Khác</v>
      </c>
      <c r="AO17" s="79">
        <f t="array" ref="AO17">IFERROR(IF(AND(K17="Có",Q17="1 Kyu"),1000,IF(AND(K17="Không",Q17="1 Kyu"),2000,0)),"")+IFERROR(IFS(AND(K17="Có",R17="1 Dan"),1500,AND(K17="Không",R17="1 Dan"),2500,AND(K17="Có",R17="2 Dan"),2200,AND(K17="Không",R17="2 Dan"),4200,AND(K17="Có",R17="3 Dan"),3000,AND(K17="Không",R17="3 Dan"),5000,AND(K17="Có",R17="4 Dan"),4500,AND(K17="Không",R17="4 Dan"),6500,AND(K17="Có",R17="5 Dan"),6000,AND(K17="Không",R17="5 Dan"),8000),0)</f>
        <v>0</v>
      </c>
      <c r="AP17" s="80">
        <f t="array" ref="AP17">IFERROR(IFS(AND(COUNTIF(T17:T18,"X")=1,K17="Có",AB17="Phòng đơn"),1900,AND(COUNTIF(T17:T18,"X")=1,K17="Có",AB17="Phòng đôi"),1550,AND(COUNTIF(T17:T18,"X")=1,K17="Có",AB17="Phòng ba"),1450,AND(COUNTIF(T17:T18,"X")=2,K17="Có",AB17="Phòng đơn"),2200,AND(COUNTIF(T17:T18,"X")=2,K17="Có",AB17="Phòng đôi"),1850,AND(COUNTIF(T17:T18,"X")=2,K17="Có",AB17="Phòng ba"),1750,
AND(COUNTIF(T17:T18,"X")=1,K17="Không",AB17="Phòng đơn"),2400,AND(COUNTIF(T17:T18,"X")=1,K17="Không",AB17="Phòng đôi"),1950,AND(COUNTIF(T17:T18,"X")=1,K17="Không",AB17="Phòng ba"),1850,AND(COUNTIF(T17:T18,"X")=2,K17="Không",AB17="Phòng đơn"),2800,AND(COUNTIF(T17:T18,"X")=2,K17="Không",AB17="Phòng đôi"),2350,AND(COUNTIF(T17:T18,"X")=2,K17="Không",AB17="Phòng ba"),2250),0)</f>
        <v>0</v>
      </c>
      <c r="AQ17" s="80">
        <f>COUNTIF(Y17:AD18,"Phòng đơn")*700
+COUNTIF(Y17:AD18,"Phòng đôi")*350
+COUNTIF(Y17:AD18,"Phòng ba")*250
-IF(AND(COUNTIF(T17:T18,"X")&gt;0,AB17&lt;&gt;""),IF(AB17="Phòng đơn",700,IF(AB17="Phòng đôi",350,IF(AB17="Phòng ba",250,0))),0)</f>
        <v>0</v>
      </c>
      <c r="AR17" s="73">
        <f>COUNTIF(AH17:AM17,"X")*120
+COUNTIF(AH18:AM18,"X")*200
-COUNTIF(T17:T18,"X")*120
-IF(COUNTA(Q17:R18)&gt;0,120,0)</f>
        <v>0</v>
      </c>
      <c r="AS17" s="80">
        <f>IF(COUNTIF(T17:T18,"X")&gt;0,0,IF(AND(AF17="Có",COUNTIF(T17:T18,"X")=0),700,0))</f>
        <v>0</v>
      </c>
      <c r="AT17" s="80">
        <f>SUM(AO17:AS18)</f>
        <v>0</v>
      </c>
      <c r="AU17" s="67"/>
      <c r="AV17" s="68"/>
    </row>
    <row r="18" ht="29.25" customHeight="1">
      <c r="A18" s="57"/>
      <c r="B18" s="57"/>
      <c r="C18" s="57"/>
      <c r="D18" s="57"/>
      <c r="E18" s="57"/>
      <c r="F18" s="57"/>
      <c r="G18" s="57"/>
      <c r="H18" s="57"/>
      <c r="I18" s="57"/>
      <c r="J18" s="57"/>
      <c r="K18" s="57"/>
      <c r="L18" s="57"/>
      <c r="M18" s="57"/>
      <c r="N18" s="57"/>
      <c r="O18" s="57"/>
      <c r="P18" s="57"/>
      <c r="Q18" s="57"/>
      <c r="R18" s="57"/>
      <c r="S18" s="74" t="str">
        <f>IF(C17="Nữ","Đội nữ 5 người",IF(C17="Nam","Đội nam 5 người",""))</f>
        <v/>
      </c>
      <c r="T18" s="77"/>
      <c r="U18" s="77"/>
      <c r="V18" s="77"/>
      <c r="W18" s="57"/>
      <c r="X18" s="57"/>
      <c r="Y18" s="57"/>
      <c r="Z18" s="57"/>
      <c r="AA18" s="57"/>
      <c r="AB18" s="57"/>
      <c r="AC18" s="57"/>
      <c r="AD18" s="57"/>
      <c r="AE18" s="57"/>
      <c r="AF18" s="57"/>
      <c r="AG18" s="77" t="s">
        <v>71</v>
      </c>
      <c r="AH18" s="82"/>
      <c r="AI18" s="82"/>
      <c r="AJ18" s="82"/>
      <c r="AK18" s="69" t="s">
        <v>51</v>
      </c>
      <c r="AL18" s="82"/>
      <c r="AM18" s="82"/>
      <c r="AN18" s="57"/>
      <c r="AO18" s="57"/>
      <c r="AP18" s="57"/>
      <c r="AQ18" s="57"/>
      <c r="AR18" s="57"/>
      <c r="AS18" s="57"/>
      <c r="AT18" s="57"/>
      <c r="AU18" s="67"/>
      <c r="AV18" s="68"/>
    </row>
    <row r="19" ht="29.25" customHeight="1">
      <c r="A19" s="70">
        <f>INT((ROW()-9)/2)+1</f>
        <v>6</v>
      </c>
      <c r="B19" s="70"/>
      <c r="C19" s="70"/>
      <c r="D19" s="70"/>
      <c r="E19" s="70"/>
      <c r="F19" s="70"/>
      <c r="G19" s="73"/>
      <c r="H19" s="73"/>
      <c r="I19" s="73"/>
      <c r="J19" s="73"/>
      <c r="K19" s="73"/>
      <c r="L19" s="73"/>
      <c r="M19" s="70"/>
      <c r="N19" s="73"/>
      <c r="O19" s="73"/>
      <c r="P19" s="70"/>
      <c r="Q19" s="70"/>
      <c r="R19" s="70"/>
      <c r="S19" s="74" t="str">
        <f>IF(C19="Nữ","Đội nữ 3 người",IF(C19="Nam","Đội nam 3 người",""))</f>
        <v/>
      </c>
      <c r="T19" s="77"/>
      <c r="U19" s="77"/>
      <c r="V19" s="77"/>
      <c r="W19" s="70"/>
      <c r="X19" s="70"/>
      <c r="Y19" s="81"/>
      <c r="Z19" s="81"/>
      <c r="AA19" s="81"/>
      <c r="AB19" s="81"/>
      <c r="AC19" s="81"/>
      <c r="AD19" s="81"/>
      <c r="AE19" s="73"/>
      <c r="AF19" s="73"/>
      <c r="AG19" s="77" t="s">
        <v>68</v>
      </c>
      <c r="AH19" s="82"/>
      <c r="AI19" s="82"/>
      <c r="AJ19" s="82"/>
      <c r="AK19" s="82"/>
      <c r="AL19" s="82"/>
      <c r="AM19" s="82"/>
      <c r="AN19" s="70" t="str">
        <f>IF(COUNTIF(T19:T20,"X")&gt;0,"VĐV","Khác")</f>
        <v>Khác</v>
      </c>
      <c r="AO19" s="79">
        <f t="array" ref="AO19">IFERROR(IF(AND(K19="Có",Q19="1 Kyu"),1000,IF(AND(K19="Không",Q19="1 Kyu"),2000,0)),"")+IFERROR(IFS(AND(K19="Có",R19="1 Dan"),1500,AND(K19="Không",R19="1 Dan"),2500,AND(K19="Có",R19="2 Dan"),2200,AND(K19="Không",R19="2 Dan"),4200,AND(K19="Có",R19="3 Dan"),3000,AND(K19="Không",R19="3 Dan"),5000,AND(K19="Có",R19="4 Dan"),4500,AND(K19="Không",R19="4 Dan"),6500,AND(K19="Có",R19="5 Dan"),6000,AND(K19="Không",R19="5 Dan"),8000),0)</f>
        <v>0</v>
      </c>
      <c r="AP19" s="80">
        <f t="array" ref="AP19">IFERROR(IFS(AND(COUNTIF(T19:T20,"X")=1,K19="Có",AB19="Phòng đơn"),1900,AND(COUNTIF(T19:T20,"X")=1,K19="Có",AB19="Phòng đôi"),1550,AND(COUNTIF(T19:T20,"X")=1,K19="Có",AB19="Phòng ba"),1450,AND(COUNTIF(T19:T20,"X")=2,K19="Có",AB19="Phòng đơn"),2200,AND(COUNTIF(T19:T20,"X")=2,K19="Có",AB19="Phòng đôi"),1850,AND(COUNTIF(T19:T20,"X")=2,K19="Có",AB19="Phòng ba"),1750,
AND(COUNTIF(T19:T20,"X")=1,K19="Không",AB19="Phòng đơn"),2400,AND(COUNTIF(T19:T20,"X")=1,K19="Không",AB19="Phòng đôi"),1950,AND(COUNTIF(T19:T20,"X")=1,K19="Không",AB19="Phòng ba"),1850,AND(COUNTIF(T19:T20,"X")=2,K19="Không",AB19="Phòng đơn"),2800,AND(COUNTIF(T19:T20,"X")=2,K19="Không",AB19="Phòng đôi"),2350,AND(COUNTIF(T19:T20,"X")=2,K19="Không",AB19="Phòng ba"),2250),0)</f>
        <v>0</v>
      </c>
      <c r="AQ19" s="80">
        <f>COUNTIF(Y19:AD20,"Phòng đơn")*700
+COUNTIF(Y19:AD20,"Phòng đôi")*350
+COUNTIF(Y19:AD20,"Phòng ba")*250
-IF(AND(COUNTIF(T19:T20,"X")&gt;0,AB19&lt;&gt;""),IF(AB19="Phòng đơn",700,IF(AB19="Phòng đôi",350,IF(AB19="Phòng ba",250,0))),0)</f>
        <v>0</v>
      </c>
      <c r="AR19" s="73">
        <f>COUNTIF(AH19:AM19,"X")*120
+COUNTIF(AH20:AM20,"X")*200
-COUNTIF(T19:T20,"X")*120
-IF(COUNTA(Q19:R20)&gt;0,120,0)</f>
        <v>0</v>
      </c>
      <c r="AS19" s="80">
        <f>IF(COUNTIF(T19:T20,"X")&gt;0,0,IF(AND(AF19="Có",COUNTIF(T19:T20,"X")=0),700,0))</f>
        <v>0</v>
      </c>
      <c r="AT19" s="80">
        <f>SUM(AO19:AS20)</f>
        <v>0</v>
      </c>
      <c r="AU19" s="67"/>
      <c r="AV19" s="68"/>
    </row>
    <row r="20" ht="29.25" customHeight="1">
      <c r="A20" s="57"/>
      <c r="B20" s="57"/>
      <c r="C20" s="57"/>
      <c r="D20" s="57"/>
      <c r="E20" s="57"/>
      <c r="F20" s="57"/>
      <c r="G20" s="57"/>
      <c r="H20" s="57"/>
      <c r="I20" s="57"/>
      <c r="J20" s="57"/>
      <c r="K20" s="57"/>
      <c r="L20" s="57"/>
      <c r="M20" s="57"/>
      <c r="N20" s="57"/>
      <c r="O20" s="57"/>
      <c r="P20" s="57"/>
      <c r="Q20" s="57"/>
      <c r="R20" s="57"/>
      <c r="S20" s="74" t="str">
        <f>IF(C19="Nữ","Đội nữ 5 người",IF(C19="Nam","Đội nam 5 người",""))</f>
        <v/>
      </c>
      <c r="T20" s="77"/>
      <c r="U20" s="77"/>
      <c r="V20" s="77"/>
      <c r="W20" s="57"/>
      <c r="X20" s="57"/>
      <c r="Y20" s="57"/>
      <c r="Z20" s="57"/>
      <c r="AA20" s="57"/>
      <c r="AB20" s="57"/>
      <c r="AC20" s="57"/>
      <c r="AD20" s="57"/>
      <c r="AE20" s="57"/>
      <c r="AF20" s="57"/>
      <c r="AG20" s="77" t="s">
        <v>71</v>
      </c>
      <c r="AH20" s="82"/>
      <c r="AI20" s="82"/>
      <c r="AJ20" s="82"/>
      <c r="AK20" s="69" t="s">
        <v>51</v>
      </c>
      <c r="AL20" s="82"/>
      <c r="AM20" s="82"/>
      <c r="AN20" s="57"/>
      <c r="AO20" s="57"/>
      <c r="AP20" s="57"/>
      <c r="AQ20" s="57"/>
      <c r="AR20" s="57"/>
      <c r="AS20" s="57"/>
      <c r="AT20" s="57"/>
      <c r="AU20" s="67"/>
      <c r="AV20" s="68"/>
    </row>
    <row r="21" ht="29.25" customHeight="1">
      <c r="A21" s="70">
        <f>INT((ROW()-9)/2)+1</f>
        <v>7</v>
      </c>
      <c r="B21" s="70"/>
      <c r="C21" s="70"/>
      <c r="D21" s="70"/>
      <c r="E21" s="70"/>
      <c r="F21" s="70"/>
      <c r="G21" s="73"/>
      <c r="H21" s="73"/>
      <c r="I21" s="73"/>
      <c r="J21" s="73"/>
      <c r="K21" s="73"/>
      <c r="L21" s="73"/>
      <c r="M21" s="70"/>
      <c r="N21" s="73"/>
      <c r="O21" s="73"/>
      <c r="P21" s="70"/>
      <c r="Q21" s="70"/>
      <c r="R21" s="70"/>
      <c r="S21" s="74" t="str">
        <f>IF(C21="Nữ","Đội nữ 3 người",IF(C21="Nam","Đội nam 3 người",""))</f>
        <v/>
      </c>
      <c r="T21" s="77"/>
      <c r="U21" s="77"/>
      <c r="V21" s="77"/>
      <c r="W21" s="70"/>
      <c r="X21" s="70"/>
      <c r="Y21" s="81"/>
      <c r="Z21" s="81"/>
      <c r="AA21" s="81"/>
      <c r="AB21" s="81"/>
      <c r="AC21" s="81"/>
      <c r="AD21" s="81"/>
      <c r="AE21" s="73"/>
      <c r="AF21" s="73"/>
      <c r="AG21" s="77" t="s">
        <v>68</v>
      </c>
      <c r="AH21" s="82"/>
      <c r="AI21" s="82"/>
      <c r="AJ21" s="82"/>
      <c r="AK21" s="82"/>
      <c r="AL21" s="82"/>
      <c r="AM21" s="82"/>
      <c r="AN21" s="70" t="str">
        <f>IF(COUNTIF(T21:T22,"X")&gt;0,"VĐV","Khác")</f>
        <v>Khác</v>
      </c>
      <c r="AO21" s="79">
        <f t="array" ref="AO21">IFERROR(IF(AND(K21="Có",Q21="1 Kyu"),1000,IF(AND(K21="Không",Q21="1 Kyu"),2000,0)),"")+IFERROR(IFS(AND(K21="Có",R21="1 Dan"),1500,AND(K21="Không",R21="1 Dan"),2500,AND(K21="Có",R21="2 Dan"),2200,AND(K21="Không",R21="2 Dan"),4200,AND(K21="Có",R21="3 Dan"),3000,AND(K21="Không",R21="3 Dan"),5000,AND(K21="Có",R21="4 Dan"),4500,AND(K21="Không",R21="4 Dan"),6500,AND(K21="Có",R21="5 Dan"),6000,AND(K21="Không",R21="5 Dan"),8000),0)</f>
        <v>0</v>
      </c>
      <c r="AP21" s="80">
        <f t="array" ref="AP21">IFERROR(IFS(AND(COUNTIF(T21:T22,"X")=1,K21="Có",AB21="Phòng đơn"),1900,AND(COUNTIF(T21:T22,"X")=1,K21="Có",AB21="Phòng đôi"),1550,AND(COUNTIF(T21:T22,"X")=1,K21="Có",AB21="Phòng ba"),1450,AND(COUNTIF(T21:T22,"X")=2,K21="Có",AB21="Phòng đơn"),2200,AND(COUNTIF(T21:T22,"X")=2,K21="Có",AB21="Phòng đôi"),1850,AND(COUNTIF(T21:T22,"X")=2,K21="Có",AB21="Phòng ba"),1750,
AND(COUNTIF(T21:T22,"X")=1,K21="Không",AB21="Phòng đơn"),2400,AND(COUNTIF(T21:T22,"X")=1,K21="Không",AB21="Phòng đôi"),1950,AND(COUNTIF(T21:T22,"X")=1,K21="Không",AB21="Phòng ba"),1850,AND(COUNTIF(T21:T22,"X")=2,K21="Không",AB21="Phòng đơn"),2800,AND(COUNTIF(T21:T22,"X")=2,K21="Không",AB21="Phòng đôi"),2350,AND(COUNTIF(T21:T22,"X")=2,K21="Không",AB21="Phòng ba"),2250),0)</f>
        <v>0</v>
      </c>
      <c r="AQ21" s="80">
        <f>COUNTIF(Y21:AD22,"Phòng đơn")*700
+COUNTIF(Y21:AD22,"Phòng đôi")*350
+COUNTIF(Y21:AD22,"Phòng ba")*250
-IF(AND(COUNTIF(T21:T22,"X")&gt;0,AB21&lt;&gt;""),IF(AB21="Phòng đơn",700,IF(AB21="Phòng đôi",350,IF(AB21="Phòng ba",250,0))),0)</f>
        <v>0</v>
      </c>
      <c r="AR21" s="73">
        <f>COUNTIF(AH21:AM21,"X")*120
+COUNTIF(AH22:AM22,"X")*200
-COUNTIF(T21:T22,"X")*120
-IF(COUNTA(Q21:R22)&gt;0,120,0)</f>
        <v>0</v>
      </c>
      <c r="AS21" s="80">
        <f>IF(COUNTIF(T21:T22,"X")&gt;0,0,IF(AND(AF21="Có",COUNTIF(T21:T22,"X")=0),700,0))</f>
        <v>0</v>
      </c>
      <c r="AT21" s="80">
        <f>SUM(AO21:AS22)</f>
        <v>0</v>
      </c>
      <c r="AU21" s="67"/>
      <c r="AV21" s="68"/>
    </row>
    <row r="22" ht="29.25" customHeight="1">
      <c r="A22" s="57"/>
      <c r="B22" s="57"/>
      <c r="C22" s="57"/>
      <c r="D22" s="57"/>
      <c r="E22" s="57"/>
      <c r="F22" s="57"/>
      <c r="G22" s="57"/>
      <c r="H22" s="57"/>
      <c r="I22" s="57"/>
      <c r="J22" s="57"/>
      <c r="K22" s="57"/>
      <c r="L22" s="57"/>
      <c r="M22" s="57"/>
      <c r="N22" s="57"/>
      <c r="O22" s="57"/>
      <c r="P22" s="57"/>
      <c r="Q22" s="57"/>
      <c r="R22" s="57"/>
      <c r="S22" s="74" t="str">
        <f>IF(C21="Nữ","Đội nữ 5 người",IF(C21="Nam","Đội nam 5 người",""))</f>
        <v/>
      </c>
      <c r="T22" s="77"/>
      <c r="U22" s="77"/>
      <c r="V22" s="77"/>
      <c r="W22" s="57"/>
      <c r="X22" s="57"/>
      <c r="Y22" s="57"/>
      <c r="Z22" s="57"/>
      <c r="AA22" s="57"/>
      <c r="AB22" s="57"/>
      <c r="AC22" s="57"/>
      <c r="AD22" s="57"/>
      <c r="AE22" s="57"/>
      <c r="AF22" s="57"/>
      <c r="AG22" s="77" t="s">
        <v>71</v>
      </c>
      <c r="AH22" s="82"/>
      <c r="AI22" s="82"/>
      <c r="AJ22" s="82"/>
      <c r="AK22" s="69" t="s">
        <v>51</v>
      </c>
      <c r="AL22" s="82"/>
      <c r="AM22" s="82"/>
      <c r="AN22" s="57"/>
      <c r="AO22" s="57"/>
      <c r="AP22" s="57"/>
      <c r="AQ22" s="57"/>
      <c r="AR22" s="57"/>
      <c r="AS22" s="57"/>
      <c r="AT22" s="57"/>
      <c r="AU22" s="67"/>
      <c r="AV22" s="68"/>
    </row>
    <row r="23" ht="29.25" customHeight="1">
      <c r="A23" s="70">
        <f>INT((ROW()-9)/2)+1</f>
        <v>8</v>
      </c>
      <c r="B23" s="70"/>
      <c r="C23" s="70"/>
      <c r="D23" s="70"/>
      <c r="E23" s="70"/>
      <c r="F23" s="70"/>
      <c r="G23" s="73"/>
      <c r="H23" s="73"/>
      <c r="I23" s="73"/>
      <c r="J23" s="73"/>
      <c r="K23" s="73"/>
      <c r="L23" s="73"/>
      <c r="M23" s="70"/>
      <c r="N23" s="73"/>
      <c r="O23" s="73"/>
      <c r="P23" s="70"/>
      <c r="Q23" s="70"/>
      <c r="R23" s="70"/>
      <c r="S23" s="74" t="str">
        <f>IF(C23="Nữ","Đội nữ 3 người",IF(C23="Nam","Đội nam 3 người",""))</f>
        <v/>
      </c>
      <c r="T23" s="77"/>
      <c r="U23" s="77"/>
      <c r="V23" s="77"/>
      <c r="W23" s="70"/>
      <c r="X23" s="70"/>
      <c r="Y23" s="81"/>
      <c r="Z23" s="81"/>
      <c r="AA23" s="81"/>
      <c r="AB23" s="81"/>
      <c r="AC23" s="81"/>
      <c r="AD23" s="81"/>
      <c r="AE23" s="73"/>
      <c r="AF23" s="73"/>
      <c r="AG23" s="77" t="s">
        <v>68</v>
      </c>
      <c r="AH23" s="82"/>
      <c r="AI23" s="82"/>
      <c r="AJ23" s="82"/>
      <c r="AK23" s="82"/>
      <c r="AL23" s="82"/>
      <c r="AM23" s="82"/>
      <c r="AN23" s="70" t="str">
        <f>IF(COUNTIF(T23:T24,"X")&gt;0,"VĐV","Khác")</f>
        <v>Khác</v>
      </c>
      <c r="AO23" s="79">
        <f t="array" ref="AO23">IFERROR(IF(AND(K23="Có",Q23="1 Kyu"),1000,IF(AND(K23="Không",Q23="1 Kyu"),2000,0)),"")+IFERROR(IFS(AND(K23="Có",R23="1 Dan"),1500,AND(K23="Không",R23="1 Dan"),2500,AND(K23="Có",R23="2 Dan"),2200,AND(K23="Không",R23="2 Dan"),4200,AND(K23="Có",R23="3 Dan"),3000,AND(K23="Không",R23="3 Dan"),5000,AND(K23="Có",R23="4 Dan"),4500,AND(K23="Không",R23="4 Dan"),6500,AND(K23="Có",R23="5 Dan"),6000,AND(K23="Không",R23="5 Dan"),8000),0)</f>
        <v>0</v>
      </c>
      <c r="AP23" s="80">
        <f t="array" ref="AP23">IFERROR(IFS(AND(COUNTIF(T23:T24,"X")=1,K23="Có",AB23="Phòng đơn"),1900,AND(COUNTIF(T23:T24,"X")=1,K23="Có",AB23="Phòng đôi"),1550,AND(COUNTIF(T23:T24,"X")=1,K23="Có",AB23="Phòng ba"),1450,AND(COUNTIF(T23:T24,"X")=2,K23="Có",AB23="Phòng đơn"),2200,AND(COUNTIF(T23:T24,"X")=2,K23="Có",AB23="Phòng đôi"),1850,AND(COUNTIF(T23:T24,"X")=2,K23="Có",AB23="Phòng ba"),1750,
AND(COUNTIF(T23:T24,"X")=1,K23="Không",AB23="Phòng đơn"),2400,AND(COUNTIF(T23:T24,"X")=1,K23="Không",AB23="Phòng đôi"),1950,AND(COUNTIF(T23:T24,"X")=1,K23="Không",AB23="Phòng ba"),1850,AND(COUNTIF(T23:T24,"X")=2,K23="Không",AB23="Phòng đơn"),2800,AND(COUNTIF(T23:T24,"X")=2,K23="Không",AB23="Phòng đôi"),2350,AND(COUNTIF(T23:T24,"X")=2,K23="Không",AB23="Phòng ba"),2250),0)</f>
        <v>0</v>
      </c>
      <c r="AQ23" s="80">
        <f>COUNTIF(Y23:AD24,"Phòng đơn")*700
+COUNTIF(Y23:AD24,"Phòng đôi")*350
+COUNTIF(Y23:AD24,"Phòng ba")*250
-IF(AND(COUNTIF(T23:T24,"X")&gt;0,AB23&lt;&gt;""),IF(AB23="Phòng đơn",700,IF(AB23="Phòng đôi",350,IF(AB23="Phòng ba",250,0))),0)</f>
        <v>0</v>
      </c>
      <c r="AR23" s="73">
        <f>COUNTIF(AH23:AM23,"X")*120
+COUNTIF(AH24:AM24,"X")*200
-COUNTIF(T23:T24,"X")*120
-IF(COUNTA(Q23:R24)&gt;0,120,0)</f>
        <v>0</v>
      </c>
      <c r="AS23" s="80">
        <f>IF(COUNTIF(T23:T24,"X")&gt;0,0,IF(AND(AF23="Có",COUNTIF(T23:T24,"X")=0),700,0))</f>
        <v>0</v>
      </c>
      <c r="AT23" s="80">
        <f>SUM(AO23:AS24)</f>
        <v>0</v>
      </c>
      <c r="AU23" s="67"/>
      <c r="AV23" s="68"/>
    </row>
    <row r="24" ht="29.25" customHeight="1">
      <c r="A24" s="57"/>
      <c r="B24" s="57"/>
      <c r="C24" s="57"/>
      <c r="D24" s="57"/>
      <c r="E24" s="57"/>
      <c r="F24" s="57"/>
      <c r="G24" s="57"/>
      <c r="H24" s="57"/>
      <c r="I24" s="57"/>
      <c r="J24" s="57"/>
      <c r="K24" s="57"/>
      <c r="L24" s="57"/>
      <c r="M24" s="57"/>
      <c r="N24" s="57"/>
      <c r="O24" s="57"/>
      <c r="P24" s="57"/>
      <c r="Q24" s="57"/>
      <c r="R24" s="57"/>
      <c r="S24" s="74" t="str">
        <f>IF(C23="Nữ","Đội nữ 5 người",IF(C23="Nam","Đội nam 5 người",""))</f>
        <v/>
      </c>
      <c r="T24" s="77"/>
      <c r="U24" s="77"/>
      <c r="V24" s="77"/>
      <c r="W24" s="57"/>
      <c r="X24" s="57"/>
      <c r="Y24" s="57"/>
      <c r="Z24" s="57"/>
      <c r="AA24" s="57"/>
      <c r="AB24" s="57"/>
      <c r="AC24" s="57"/>
      <c r="AD24" s="57"/>
      <c r="AE24" s="57"/>
      <c r="AF24" s="57"/>
      <c r="AG24" s="77" t="s">
        <v>71</v>
      </c>
      <c r="AH24" s="82"/>
      <c r="AI24" s="82"/>
      <c r="AJ24" s="82"/>
      <c r="AK24" s="69" t="s">
        <v>51</v>
      </c>
      <c r="AL24" s="82"/>
      <c r="AM24" s="82"/>
      <c r="AN24" s="57"/>
      <c r="AO24" s="57"/>
      <c r="AP24" s="57"/>
      <c r="AQ24" s="57"/>
      <c r="AR24" s="57"/>
      <c r="AS24" s="57"/>
      <c r="AT24" s="57"/>
      <c r="AU24" s="67"/>
      <c r="AV24" s="68"/>
    </row>
    <row r="25" ht="29.25" customHeight="1">
      <c r="A25" s="70">
        <f>INT((ROW()-9)/2)+1</f>
        <v>9</v>
      </c>
      <c r="B25" s="70"/>
      <c r="C25" s="70"/>
      <c r="D25" s="70"/>
      <c r="E25" s="70"/>
      <c r="F25" s="70"/>
      <c r="G25" s="73"/>
      <c r="H25" s="73"/>
      <c r="I25" s="73"/>
      <c r="J25" s="73"/>
      <c r="K25" s="73"/>
      <c r="L25" s="73"/>
      <c r="M25" s="70"/>
      <c r="N25" s="73"/>
      <c r="O25" s="73"/>
      <c r="P25" s="70"/>
      <c r="Q25" s="70"/>
      <c r="R25" s="70"/>
      <c r="S25" s="74" t="str">
        <f>IF(C25="Nữ","Đội nữ 3 người",IF(C25="Nam","Đội nam 3 người",""))</f>
        <v/>
      </c>
      <c r="T25" s="77"/>
      <c r="U25" s="77"/>
      <c r="V25" s="77"/>
      <c r="W25" s="70"/>
      <c r="X25" s="70"/>
      <c r="Y25" s="81"/>
      <c r="Z25" s="81"/>
      <c r="AA25" s="81"/>
      <c r="AB25" s="81"/>
      <c r="AC25" s="81"/>
      <c r="AD25" s="81"/>
      <c r="AE25" s="73"/>
      <c r="AF25" s="73"/>
      <c r="AG25" s="77" t="s">
        <v>68</v>
      </c>
      <c r="AH25" s="82"/>
      <c r="AI25" s="82"/>
      <c r="AJ25" s="82"/>
      <c r="AK25" s="82"/>
      <c r="AL25" s="82"/>
      <c r="AM25" s="82"/>
      <c r="AN25" s="70" t="str">
        <f>IF(COUNTIF(T25:T26,"X")&gt;0,"VĐV","Khác")</f>
        <v>Khác</v>
      </c>
      <c r="AO25" s="79">
        <f t="array" ref="AO25">IFERROR(IF(AND(K25="Có",Q25="1 Kyu"),1000,IF(AND(K25="Không",Q25="1 Kyu"),2000,0)),"")+IFERROR(IFS(AND(K25="Có",R25="1 Dan"),1500,AND(K25="Không",R25="1 Dan"),2500,AND(K25="Có",R25="2 Dan"),2200,AND(K25="Không",R25="2 Dan"),4200,AND(K25="Có",R25="3 Dan"),3000,AND(K25="Không",R25="3 Dan"),5000,AND(K25="Có",R25="4 Dan"),4500,AND(K25="Không",R25="4 Dan"),6500,AND(K25="Có",R25="5 Dan"),6000,AND(K25="Không",R25="5 Dan"),8000),0)</f>
        <v>0</v>
      </c>
      <c r="AP25" s="80">
        <f t="array" ref="AP25">IFERROR(IFS(AND(COUNTIF(T25:T26,"X")=1,K25="Có",AB25="Phòng đơn"),1900,AND(COUNTIF(T25:T26,"X")=1,K25="Có",AB25="Phòng đôi"),1550,AND(COUNTIF(T25:T26,"X")=1,K25="Có",AB25="Phòng ba"),1450,AND(COUNTIF(T25:T26,"X")=2,K25="Có",AB25="Phòng đơn"),2200,AND(COUNTIF(T25:T26,"X")=2,K25="Có",AB25="Phòng đôi"),1850,AND(COUNTIF(T25:T26,"X")=2,K25="Có",AB25="Phòng ba"),1750,
AND(COUNTIF(T25:T26,"X")=1,K25="Không",AB25="Phòng đơn"),2400,AND(COUNTIF(T25:T26,"X")=1,K25="Không",AB25="Phòng đôi"),1950,AND(COUNTIF(T25:T26,"X")=1,K25="Không",AB25="Phòng ba"),1850,AND(COUNTIF(T25:T26,"X")=2,K25="Không",AB25="Phòng đơn"),2800,AND(COUNTIF(T25:T26,"X")=2,K25="Không",AB25="Phòng đôi"),2350,AND(COUNTIF(T25:T26,"X")=2,K25="Không",AB25="Phòng ba"),2250),0)</f>
        <v>0</v>
      </c>
      <c r="AQ25" s="80">
        <f>COUNTIF(Y25:AD26,"Phòng đơn")*700
+COUNTIF(Y25:AD26,"Phòng đôi")*350
+COUNTIF(Y25:AD26,"Phòng ba")*250
-IF(AND(COUNTIF(T25:T26,"X")&gt;0,AB25&lt;&gt;""),IF(AB25="Phòng đơn",700,IF(AB25="Phòng đôi",350,IF(AB25="Phòng ba",250,0))),0)</f>
        <v>0</v>
      </c>
      <c r="AR25" s="73">
        <f>COUNTIF(AH25:AM25,"X")*120
+COUNTIF(AH26:AM26,"X")*200
-COUNTIF(T25:T26,"X")*120
-IF(COUNTA(Q25:R26)&gt;0,120,0)</f>
        <v>0</v>
      </c>
      <c r="AS25" s="80">
        <f>IF(COUNTIF(T25:T26,"X")&gt;0,0,IF(AND(AF25="Có",COUNTIF(T25:T26,"X")=0),700,0))</f>
        <v>0</v>
      </c>
      <c r="AT25" s="80">
        <f>SUM(AO25:AS26)</f>
        <v>0</v>
      </c>
      <c r="AU25" s="67"/>
      <c r="AV25" s="68"/>
    </row>
    <row r="26" ht="29.25" customHeight="1">
      <c r="A26" s="57"/>
      <c r="B26" s="57"/>
      <c r="C26" s="57"/>
      <c r="D26" s="57"/>
      <c r="E26" s="57"/>
      <c r="F26" s="57"/>
      <c r="G26" s="57"/>
      <c r="H26" s="57"/>
      <c r="I26" s="57"/>
      <c r="J26" s="57"/>
      <c r="K26" s="57"/>
      <c r="L26" s="57"/>
      <c r="M26" s="57"/>
      <c r="N26" s="57"/>
      <c r="O26" s="57"/>
      <c r="P26" s="57"/>
      <c r="Q26" s="57"/>
      <c r="R26" s="57"/>
      <c r="S26" s="74" t="str">
        <f>IF(C25="Nữ","Đội nữ 5 người",IF(C25="Nam","Đội nam 5 người",""))</f>
        <v/>
      </c>
      <c r="T26" s="77"/>
      <c r="U26" s="77"/>
      <c r="V26" s="77"/>
      <c r="W26" s="57"/>
      <c r="X26" s="57"/>
      <c r="Y26" s="57"/>
      <c r="Z26" s="57"/>
      <c r="AA26" s="57"/>
      <c r="AB26" s="57"/>
      <c r="AC26" s="57"/>
      <c r="AD26" s="57"/>
      <c r="AE26" s="57"/>
      <c r="AF26" s="57"/>
      <c r="AG26" s="77" t="s">
        <v>71</v>
      </c>
      <c r="AH26" s="82"/>
      <c r="AI26" s="82"/>
      <c r="AJ26" s="82"/>
      <c r="AK26" s="69" t="s">
        <v>51</v>
      </c>
      <c r="AL26" s="82"/>
      <c r="AM26" s="82"/>
      <c r="AN26" s="57"/>
      <c r="AO26" s="57"/>
      <c r="AP26" s="57"/>
      <c r="AQ26" s="57"/>
      <c r="AR26" s="57"/>
      <c r="AS26" s="57"/>
      <c r="AT26" s="57"/>
      <c r="AU26" s="67"/>
      <c r="AV26" s="68"/>
    </row>
    <row r="27" ht="29.25" customHeight="1">
      <c r="A27" s="70">
        <f>INT((ROW()-9)/2)+1</f>
        <v>10</v>
      </c>
      <c r="B27" s="70"/>
      <c r="C27" s="70"/>
      <c r="D27" s="70"/>
      <c r="E27" s="70"/>
      <c r="F27" s="70"/>
      <c r="G27" s="73"/>
      <c r="H27" s="73"/>
      <c r="I27" s="73"/>
      <c r="J27" s="73"/>
      <c r="K27" s="73"/>
      <c r="L27" s="73"/>
      <c r="M27" s="70"/>
      <c r="N27" s="73"/>
      <c r="O27" s="73"/>
      <c r="P27" s="70"/>
      <c r="Q27" s="70"/>
      <c r="R27" s="70"/>
      <c r="S27" s="74" t="str">
        <f>IF(C27="Nữ","Đội nữ 3 người",IF(C27="Nam","Đội nam 3 người",""))</f>
        <v/>
      </c>
      <c r="T27" s="77"/>
      <c r="U27" s="77"/>
      <c r="V27" s="77"/>
      <c r="W27" s="70"/>
      <c r="X27" s="70"/>
      <c r="Y27" s="81"/>
      <c r="Z27" s="81"/>
      <c r="AA27" s="81"/>
      <c r="AB27" s="81"/>
      <c r="AC27" s="81"/>
      <c r="AD27" s="81"/>
      <c r="AE27" s="73"/>
      <c r="AF27" s="73"/>
      <c r="AG27" s="77" t="s">
        <v>68</v>
      </c>
      <c r="AH27" s="82"/>
      <c r="AI27" s="82"/>
      <c r="AJ27" s="82"/>
      <c r="AK27" s="82"/>
      <c r="AL27" s="82"/>
      <c r="AM27" s="82"/>
      <c r="AN27" s="70" t="str">
        <f>IF(COUNTIF(T27:T28,"X")&gt;0,"VĐV","Khác")</f>
        <v>Khác</v>
      </c>
      <c r="AO27" s="79">
        <f t="array" ref="AO27">IFERROR(IF(AND(K27="Có",Q27="1 Kyu"),1000,IF(AND(K27="Không",Q27="1 Kyu"),2000,0)),"")+IFERROR(IFS(AND(K27="Có",R27="1 Dan"),1500,AND(K27="Không",R27="1 Dan"),2500,AND(K27="Có",R27="2 Dan"),2200,AND(K27="Không",R27="2 Dan"),4200,AND(K27="Có",R27="3 Dan"),3000,AND(K27="Không",R27="3 Dan"),5000,AND(K27="Có",R27="4 Dan"),4500,AND(K27="Không",R27="4 Dan"),6500,AND(K27="Có",R27="5 Dan"),6000,AND(K27="Không",R27="5 Dan"),8000),0)</f>
        <v>0</v>
      </c>
      <c r="AP27" s="80">
        <f t="array" ref="AP27">IFERROR(IFS(AND(COUNTIF(T27:T28,"X")=1,K27="Có",AB27="Phòng đơn"),1900,AND(COUNTIF(T27:T28,"X")=1,K27="Có",AB27="Phòng đôi"),1550,AND(COUNTIF(T27:T28,"X")=1,K27="Có",AB27="Phòng ba"),1450,AND(COUNTIF(T27:T28,"X")=2,K27="Có",AB27="Phòng đơn"),2200,AND(COUNTIF(T27:T28,"X")=2,K27="Có",AB27="Phòng đôi"),1850,AND(COUNTIF(T27:T28,"X")=2,K27="Có",AB27="Phòng ba"),1750,
AND(COUNTIF(T27:T28,"X")=1,K27="Không",AB27="Phòng đơn"),2400,AND(COUNTIF(T27:T28,"X")=1,K27="Không",AB27="Phòng đôi"),1950,AND(COUNTIF(T27:T28,"X")=1,K27="Không",AB27="Phòng ba"),1850,AND(COUNTIF(T27:T28,"X")=2,K27="Không",AB27="Phòng đơn"),2800,AND(COUNTIF(T27:T28,"X")=2,K27="Không",AB27="Phòng đôi"),2350,AND(COUNTIF(T27:T28,"X")=2,K27="Không",AB27="Phòng ba"),2250),0)</f>
        <v>0</v>
      </c>
      <c r="AQ27" s="80">
        <f>COUNTIF(Y27:AD28,"Phòng đơn")*700
+COUNTIF(Y27:AD28,"Phòng đôi")*350
+COUNTIF(Y27:AD28,"Phòng ba")*250
-IF(AND(COUNTIF(T27:T28,"X")&gt;0,AB27&lt;&gt;""),IF(AB27="Phòng đơn",700,IF(AB27="Phòng đôi",350,IF(AB27="Phòng ba",250,0))),0)</f>
        <v>0</v>
      </c>
      <c r="AR27" s="73">
        <f>COUNTIF(AH27:AM27,"X")*120
+COUNTIF(AH28:AM28,"X")*200
-COUNTIF(T27:T28,"X")*120
-IF(COUNTA(Q27:R28)&gt;0,120,0)</f>
        <v>0</v>
      </c>
      <c r="AS27" s="80">
        <f>IF(COUNTIF(T27:T28,"X")&gt;0,0,IF(AND(AF27="Có",COUNTIF(T27:T28,"X")=0),700,0))</f>
        <v>0</v>
      </c>
      <c r="AT27" s="80">
        <f>SUM(AO27:AS28)</f>
        <v>0</v>
      </c>
      <c r="AU27" s="67"/>
      <c r="AV27" s="68"/>
    </row>
    <row r="28" ht="29.25" customHeight="1">
      <c r="A28" s="57"/>
      <c r="B28" s="57"/>
      <c r="C28" s="57"/>
      <c r="D28" s="57"/>
      <c r="E28" s="57"/>
      <c r="F28" s="57"/>
      <c r="G28" s="57"/>
      <c r="H28" s="57"/>
      <c r="I28" s="57"/>
      <c r="J28" s="57"/>
      <c r="K28" s="57"/>
      <c r="L28" s="57"/>
      <c r="M28" s="57"/>
      <c r="N28" s="57"/>
      <c r="O28" s="57"/>
      <c r="P28" s="57"/>
      <c r="Q28" s="57"/>
      <c r="R28" s="57"/>
      <c r="S28" s="74" t="str">
        <f>IF(C27="Nữ","Đội nữ 5 người",IF(C27="Nam","Đội nam 5 người",""))</f>
        <v/>
      </c>
      <c r="T28" s="77"/>
      <c r="U28" s="77"/>
      <c r="V28" s="77"/>
      <c r="W28" s="57"/>
      <c r="X28" s="57"/>
      <c r="Y28" s="57"/>
      <c r="Z28" s="57"/>
      <c r="AA28" s="57"/>
      <c r="AB28" s="57"/>
      <c r="AC28" s="57"/>
      <c r="AD28" s="57"/>
      <c r="AE28" s="57"/>
      <c r="AF28" s="57"/>
      <c r="AG28" s="77" t="s">
        <v>71</v>
      </c>
      <c r="AH28" s="82"/>
      <c r="AI28" s="82"/>
      <c r="AJ28" s="82"/>
      <c r="AK28" s="69" t="s">
        <v>51</v>
      </c>
      <c r="AL28" s="82"/>
      <c r="AM28" s="82"/>
      <c r="AN28" s="57"/>
      <c r="AO28" s="57"/>
      <c r="AP28" s="57"/>
      <c r="AQ28" s="57"/>
      <c r="AR28" s="57"/>
      <c r="AS28" s="57"/>
      <c r="AT28" s="57"/>
      <c r="AU28" s="67"/>
      <c r="AV28" s="68"/>
    </row>
    <row r="29" ht="29.25" customHeight="1">
      <c r="A29" s="70">
        <f>INT((ROW()-9)/2)+1</f>
        <v>11</v>
      </c>
      <c r="B29" s="70"/>
      <c r="C29" s="70"/>
      <c r="D29" s="70"/>
      <c r="E29" s="70"/>
      <c r="F29" s="70"/>
      <c r="G29" s="73"/>
      <c r="H29" s="73"/>
      <c r="I29" s="73"/>
      <c r="J29" s="73"/>
      <c r="K29" s="73"/>
      <c r="L29" s="73"/>
      <c r="M29" s="70"/>
      <c r="N29" s="73"/>
      <c r="O29" s="73"/>
      <c r="P29" s="70"/>
      <c r="Q29" s="70"/>
      <c r="R29" s="70"/>
      <c r="S29" s="74" t="str">
        <f>IF(C29="Nữ","Đội nữ 3 người",IF(C29="Nam","Đội nam 3 người",""))</f>
        <v/>
      </c>
      <c r="T29" s="77"/>
      <c r="U29" s="77"/>
      <c r="V29" s="77"/>
      <c r="W29" s="70"/>
      <c r="X29" s="70"/>
      <c r="Y29" s="81"/>
      <c r="Z29" s="81"/>
      <c r="AA29" s="81"/>
      <c r="AB29" s="81"/>
      <c r="AC29" s="81"/>
      <c r="AD29" s="81"/>
      <c r="AE29" s="73"/>
      <c r="AF29" s="73"/>
      <c r="AG29" s="77" t="s">
        <v>68</v>
      </c>
      <c r="AH29" s="82"/>
      <c r="AI29" s="82"/>
      <c r="AJ29" s="82"/>
      <c r="AK29" s="82"/>
      <c r="AL29" s="82"/>
      <c r="AM29" s="82"/>
      <c r="AN29" s="70" t="str">
        <f>IF(COUNTIF(T29:T30,"X")&gt;0,"VĐV","Khác")</f>
        <v>Khác</v>
      </c>
      <c r="AO29" s="79">
        <f t="array" ref="AO29">IFERROR(IF(AND(K29="Có",Q29="1 Kyu"),1000,IF(AND(K29="Không",Q29="1 Kyu"),2000,0)),"")+IFERROR(IFS(AND(K29="Có",R29="1 Dan"),1500,AND(K29="Không",R29="1 Dan"),2500,AND(K29="Có",R29="2 Dan"),2200,AND(K29="Không",R29="2 Dan"),4200,AND(K29="Có",R29="3 Dan"),3000,AND(K29="Không",R29="3 Dan"),5000,AND(K29="Có",R29="4 Dan"),4500,AND(K29="Không",R29="4 Dan"),6500,AND(K29="Có",R29="5 Dan"),6000,AND(K29="Không",R29="5 Dan"),8000),0)</f>
        <v>0</v>
      </c>
      <c r="AP29" s="80">
        <f t="array" ref="AP29">IFERROR(IFS(AND(COUNTIF(T29:T30,"X")=1,K29="Có",AB29="Phòng đơn"),1900,AND(COUNTIF(T29:T30,"X")=1,K29="Có",AB29="Phòng đôi"),1550,AND(COUNTIF(T29:T30,"X")=1,K29="Có",AB29="Phòng ba"),1450,AND(COUNTIF(T29:T30,"X")=2,K29="Có",AB29="Phòng đơn"),2200,AND(COUNTIF(T29:T30,"X")=2,K29="Có",AB29="Phòng đôi"),1850,AND(COUNTIF(T29:T30,"X")=2,K29="Có",AB29="Phòng ba"),1750,
AND(COUNTIF(T29:T30,"X")=1,K29="Không",AB29="Phòng đơn"),2400,AND(COUNTIF(T29:T30,"X")=1,K29="Không",AB29="Phòng đôi"),1950,AND(COUNTIF(T29:T30,"X")=1,K29="Không",AB29="Phòng ba"),1850,AND(COUNTIF(T29:T30,"X")=2,K29="Không",AB29="Phòng đơn"),2800,AND(COUNTIF(T29:T30,"X")=2,K29="Không",AB29="Phòng đôi"),2350,AND(COUNTIF(T29:T30,"X")=2,K29="Không",AB29="Phòng ba"),2250),0)</f>
        <v>0</v>
      </c>
      <c r="AQ29" s="80">
        <f>COUNTIF(Y29:AD30,"Phòng đơn")*700
+COUNTIF(Y29:AD30,"Phòng đôi")*350
+COUNTIF(Y29:AD30,"Phòng ba")*250
-IF(AND(COUNTIF(T29:T30,"X")&gt;0,AB29&lt;&gt;""),IF(AB29="Phòng đơn",700,IF(AB29="Phòng đôi",350,IF(AB29="Phòng ba",250,0))),0)</f>
        <v>0</v>
      </c>
      <c r="AR29" s="73">
        <f>COUNTIF(AH29:AM29,"X")*120
+COUNTIF(AH30:AM30,"X")*200
-COUNTIF(T29:T30,"X")*120
-IF(COUNTA(Q29:R30)&gt;0,120,0)</f>
        <v>0</v>
      </c>
      <c r="AS29" s="80">
        <f>IF(COUNTIF(T29:T30,"X")&gt;0,0,IF(AND(AF29="Có",COUNTIF(T29:T30,"X")=0),700,0))</f>
        <v>0</v>
      </c>
      <c r="AT29" s="80">
        <f>SUM(AO29:AS30)</f>
        <v>0</v>
      </c>
      <c r="AU29" s="67"/>
      <c r="AV29" s="68"/>
    </row>
    <row r="30" ht="29.25" customHeight="1">
      <c r="A30" s="57"/>
      <c r="B30" s="57"/>
      <c r="C30" s="57"/>
      <c r="D30" s="57"/>
      <c r="E30" s="57"/>
      <c r="F30" s="57"/>
      <c r="G30" s="57"/>
      <c r="H30" s="57"/>
      <c r="I30" s="57"/>
      <c r="J30" s="57"/>
      <c r="K30" s="57"/>
      <c r="L30" s="57"/>
      <c r="M30" s="57"/>
      <c r="N30" s="57"/>
      <c r="O30" s="57"/>
      <c r="P30" s="57"/>
      <c r="Q30" s="57"/>
      <c r="R30" s="57"/>
      <c r="S30" s="74" t="str">
        <f>IF(C29="Nữ","Đội nữ 5 người",IF(C29="Nam","Đội nam 5 người",""))</f>
        <v/>
      </c>
      <c r="T30" s="77"/>
      <c r="U30" s="77"/>
      <c r="V30" s="77"/>
      <c r="W30" s="57"/>
      <c r="X30" s="57"/>
      <c r="Y30" s="57"/>
      <c r="Z30" s="57"/>
      <c r="AA30" s="57"/>
      <c r="AB30" s="57"/>
      <c r="AC30" s="57"/>
      <c r="AD30" s="57"/>
      <c r="AE30" s="57"/>
      <c r="AF30" s="57"/>
      <c r="AG30" s="77" t="s">
        <v>71</v>
      </c>
      <c r="AH30" s="82"/>
      <c r="AI30" s="82"/>
      <c r="AJ30" s="82"/>
      <c r="AK30" s="69" t="s">
        <v>51</v>
      </c>
      <c r="AL30" s="82"/>
      <c r="AM30" s="82"/>
      <c r="AN30" s="57"/>
      <c r="AO30" s="57"/>
      <c r="AP30" s="57"/>
      <c r="AQ30" s="57"/>
      <c r="AR30" s="57"/>
      <c r="AS30" s="57"/>
      <c r="AT30" s="57"/>
      <c r="AU30" s="67"/>
      <c r="AV30" s="68"/>
    </row>
    <row r="31" ht="29.25" customHeight="1">
      <c r="A31" s="70">
        <f>INT((ROW()-9)/2)+1</f>
        <v>12</v>
      </c>
      <c r="B31" s="70"/>
      <c r="C31" s="70"/>
      <c r="D31" s="70"/>
      <c r="E31" s="70"/>
      <c r="F31" s="70"/>
      <c r="G31" s="73"/>
      <c r="H31" s="73"/>
      <c r="I31" s="73"/>
      <c r="J31" s="73"/>
      <c r="K31" s="73"/>
      <c r="L31" s="73"/>
      <c r="M31" s="70"/>
      <c r="N31" s="73"/>
      <c r="O31" s="73"/>
      <c r="P31" s="70"/>
      <c r="Q31" s="70"/>
      <c r="R31" s="70"/>
      <c r="S31" s="74" t="str">
        <f>IF(C31="Nữ","Đội nữ 3 người",IF(C31="Nam","Đội nam 3 người",""))</f>
        <v/>
      </c>
      <c r="T31" s="77"/>
      <c r="U31" s="77"/>
      <c r="V31" s="77"/>
      <c r="W31" s="70"/>
      <c r="X31" s="70"/>
      <c r="Y31" s="81"/>
      <c r="Z31" s="81"/>
      <c r="AA31" s="81"/>
      <c r="AB31" s="81"/>
      <c r="AC31" s="81"/>
      <c r="AD31" s="81"/>
      <c r="AE31" s="73"/>
      <c r="AF31" s="73"/>
      <c r="AG31" s="77" t="s">
        <v>68</v>
      </c>
      <c r="AH31" s="82"/>
      <c r="AI31" s="82"/>
      <c r="AJ31" s="82"/>
      <c r="AK31" s="82"/>
      <c r="AL31" s="82"/>
      <c r="AM31" s="82"/>
      <c r="AN31" s="70" t="str">
        <f>IF(COUNTIF(T31:T32,"X")&gt;0,"VĐV","Khác")</f>
        <v>Khác</v>
      </c>
      <c r="AO31" s="79">
        <f t="array" ref="AO31">IFERROR(IF(AND(K31="Có",Q31="1 Kyu"),1000,IF(AND(K31="Không",Q31="1 Kyu"),2000,0)),"")+IFERROR(IFS(AND(K31="Có",R31="1 Dan"),1500,AND(K31="Không",R31="1 Dan"),2500,AND(K31="Có",R31="2 Dan"),2200,AND(K31="Không",R31="2 Dan"),4200,AND(K31="Có",R31="3 Dan"),3000,AND(K31="Không",R31="3 Dan"),5000,AND(K31="Có",R31="4 Dan"),4500,AND(K31="Không",R31="4 Dan"),6500,AND(K31="Có",R31="5 Dan"),6000,AND(K31="Không",R31="5 Dan"),8000),0)</f>
        <v>0</v>
      </c>
      <c r="AP31" s="80">
        <f t="array" ref="AP31">IFERROR(IFS(AND(COUNTIF(T31:T32,"X")=1,K31="Có",AB31="Phòng đơn"),1900,AND(COUNTIF(T31:T32,"X")=1,K31="Có",AB31="Phòng đôi"),1550,AND(COUNTIF(T31:T32,"X")=1,K31="Có",AB31="Phòng ba"),1450,AND(COUNTIF(T31:T32,"X")=2,K31="Có",AB31="Phòng đơn"),2200,AND(COUNTIF(T31:T32,"X")=2,K31="Có",AB31="Phòng đôi"),1850,AND(COUNTIF(T31:T32,"X")=2,K31="Có",AB31="Phòng ba"),1750,
AND(COUNTIF(T31:T32,"X")=1,K31="Không",AB31="Phòng đơn"),2400,AND(COUNTIF(T31:T32,"X")=1,K31="Không",AB31="Phòng đôi"),1950,AND(COUNTIF(T31:T32,"X")=1,K31="Không",AB31="Phòng ba"),1850,AND(COUNTIF(T31:T32,"X")=2,K31="Không",AB31="Phòng đơn"),2800,AND(COUNTIF(T31:T32,"X")=2,K31="Không",AB31="Phòng đôi"),2350,AND(COUNTIF(T31:T32,"X")=2,K31="Không",AB31="Phòng ba"),2250),0)</f>
        <v>0</v>
      </c>
      <c r="AQ31" s="80">
        <f>COUNTIF(Y31:AD32,"Phòng đơn")*700
+COUNTIF(Y31:AD32,"Phòng đôi")*350
+COUNTIF(Y31:AD32,"Phòng ba")*250
-IF(AND(COUNTIF(T31:T32,"X")&gt;0,AB31&lt;&gt;""),IF(AB31="Phòng đơn",700,IF(AB31="Phòng đôi",350,IF(AB31="Phòng ba",250,0))),0)</f>
        <v>0</v>
      </c>
      <c r="AR31" s="73">
        <f>COUNTIF(AH31:AM31,"X")*120
+COUNTIF(AH32:AM32,"X")*200
-COUNTIF(T31:T32,"X")*120
-IF(COUNTA(Q31:R32)&gt;0,120,0)</f>
        <v>0</v>
      </c>
      <c r="AS31" s="80">
        <f>IF(COUNTIF(T31:T32,"X")&gt;0,0,IF(AND(AF31="Có",COUNTIF(T31:T32,"X")=0),700,0))</f>
        <v>0</v>
      </c>
      <c r="AT31" s="80">
        <f>SUM(AO31:AS32)</f>
        <v>0</v>
      </c>
      <c r="AU31" s="67"/>
      <c r="AV31" s="68"/>
    </row>
    <row r="32" ht="29.25" customHeight="1">
      <c r="A32" s="57"/>
      <c r="B32" s="57"/>
      <c r="C32" s="57"/>
      <c r="D32" s="57"/>
      <c r="E32" s="57"/>
      <c r="F32" s="57"/>
      <c r="G32" s="57"/>
      <c r="H32" s="57"/>
      <c r="I32" s="57"/>
      <c r="J32" s="57"/>
      <c r="K32" s="57"/>
      <c r="L32" s="57"/>
      <c r="M32" s="57"/>
      <c r="N32" s="57"/>
      <c r="O32" s="57"/>
      <c r="P32" s="57"/>
      <c r="Q32" s="57"/>
      <c r="R32" s="57"/>
      <c r="S32" s="74" t="str">
        <f>IF(C31="Nữ","Đội nữ 5 người",IF(C31="Nam","Đội nam 5 người",""))</f>
        <v/>
      </c>
      <c r="T32" s="77"/>
      <c r="U32" s="77"/>
      <c r="V32" s="77"/>
      <c r="W32" s="57"/>
      <c r="X32" s="57"/>
      <c r="Y32" s="57"/>
      <c r="Z32" s="57"/>
      <c r="AA32" s="57"/>
      <c r="AB32" s="57"/>
      <c r="AC32" s="57"/>
      <c r="AD32" s="57"/>
      <c r="AE32" s="57"/>
      <c r="AF32" s="57"/>
      <c r="AG32" s="77" t="s">
        <v>71</v>
      </c>
      <c r="AH32" s="82"/>
      <c r="AI32" s="82"/>
      <c r="AJ32" s="82"/>
      <c r="AK32" s="69" t="s">
        <v>51</v>
      </c>
      <c r="AL32" s="82"/>
      <c r="AM32" s="82"/>
      <c r="AN32" s="57"/>
      <c r="AO32" s="57"/>
      <c r="AP32" s="57"/>
      <c r="AQ32" s="57"/>
      <c r="AR32" s="57"/>
      <c r="AS32" s="57"/>
      <c r="AT32" s="57"/>
      <c r="AU32" s="67"/>
      <c r="AV32" s="68"/>
    </row>
    <row r="33" ht="29.25" customHeight="1">
      <c r="A33" s="70">
        <f>INT((ROW()-9)/2)+1</f>
        <v>13</v>
      </c>
      <c r="B33" s="70"/>
      <c r="C33" s="70"/>
      <c r="D33" s="70"/>
      <c r="E33" s="70"/>
      <c r="F33" s="70"/>
      <c r="G33" s="73"/>
      <c r="H33" s="73"/>
      <c r="I33" s="73"/>
      <c r="J33" s="73"/>
      <c r="K33" s="73"/>
      <c r="L33" s="73"/>
      <c r="M33" s="70"/>
      <c r="N33" s="73"/>
      <c r="O33" s="73"/>
      <c r="P33" s="70"/>
      <c r="Q33" s="70"/>
      <c r="R33" s="70"/>
      <c r="S33" s="74" t="str">
        <f>IF(C33="Nữ","Đội nữ 3 người",IF(C33="Nam","Đội nam 3 người",""))</f>
        <v/>
      </c>
      <c r="T33" s="77"/>
      <c r="U33" s="77"/>
      <c r="V33" s="77"/>
      <c r="W33" s="70"/>
      <c r="X33" s="70"/>
      <c r="Y33" s="81"/>
      <c r="Z33" s="81"/>
      <c r="AA33" s="81"/>
      <c r="AB33" s="81"/>
      <c r="AC33" s="81"/>
      <c r="AD33" s="81"/>
      <c r="AE33" s="73"/>
      <c r="AF33" s="73"/>
      <c r="AG33" s="77" t="s">
        <v>68</v>
      </c>
      <c r="AH33" s="82"/>
      <c r="AI33" s="82"/>
      <c r="AJ33" s="82"/>
      <c r="AK33" s="82"/>
      <c r="AL33" s="82"/>
      <c r="AM33" s="82"/>
      <c r="AN33" s="70" t="str">
        <f>IF(COUNTIF(T33:T34,"X")&gt;0,"VĐV","Khác")</f>
        <v>Khác</v>
      </c>
      <c r="AO33" s="79">
        <f t="array" ref="AO33">IFERROR(IF(AND(K33="Có",Q33="1 Kyu"),1000,IF(AND(K33="Không",Q33="1 Kyu"),2000,0)),"")+IFERROR(IFS(AND(K33="Có",R33="1 Dan"),1500,AND(K33="Không",R33="1 Dan"),2500,AND(K33="Có",R33="2 Dan"),2200,AND(K33="Không",R33="2 Dan"),4200,AND(K33="Có",R33="3 Dan"),3000,AND(K33="Không",R33="3 Dan"),5000,AND(K33="Có",R33="4 Dan"),4500,AND(K33="Không",R33="4 Dan"),6500,AND(K33="Có",R33="5 Dan"),6000,AND(K33="Không",R33="5 Dan"),8000),0)</f>
        <v>0</v>
      </c>
      <c r="AP33" s="80">
        <f t="array" ref="AP33">IFERROR(IFS(AND(COUNTIF(T33:T34,"X")=1,K33="Có",AB33="Phòng đơn"),1900,AND(COUNTIF(T33:T34,"X")=1,K33="Có",AB33="Phòng đôi"),1550,AND(COUNTIF(T33:T34,"X")=1,K33="Có",AB33="Phòng ba"),1450,AND(COUNTIF(T33:T34,"X")=2,K33="Có",AB33="Phòng đơn"),2200,AND(COUNTIF(T33:T34,"X")=2,K33="Có",AB33="Phòng đôi"),1850,AND(COUNTIF(T33:T34,"X")=2,K33="Có",AB33="Phòng ba"),1750,
AND(COUNTIF(T33:T34,"X")=1,K33="Không",AB33="Phòng đơn"),2400,AND(COUNTIF(T33:T34,"X")=1,K33="Không",AB33="Phòng đôi"),1950,AND(COUNTIF(T33:T34,"X")=1,K33="Không",AB33="Phòng ba"),1850,AND(COUNTIF(T33:T34,"X")=2,K33="Không",AB33="Phòng đơn"),2800,AND(COUNTIF(T33:T34,"X")=2,K33="Không",AB33="Phòng đôi"),2350,AND(COUNTIF(T33:T34,"X")=2,K33="Không",AB33="Phòng ba"),2250),0)</f>
        <v>0</v>
      </c>
      <c r="AQ33" s="80">
        <f>COUNTIF(Y33:AD34,"Phòng đơn")*700
+COUNTIF(Y33:AD34,"Phòng đôi")*350
+COUNTIF(Y33:AD34,"Phòng ba")*250
-IF(AND(COUNTIF(T33:T34,"X")&gt;0,AB33&lt;&gt;""),IF(AB33="Phòng đơn",700,IF(AB33="Phòng đôi",350,IF(AB33="Phòng ba",250,0))),0)</f>
        <v>0</v>
      </c>
      <c r="AR33" s="73">
        <f>COUNTIF(AH33:AM33,"X")*120
+COUNTIF(AH34:AM34,"X")*200
-COUNTIF(T33:T34,"X")*120
-IF(COUNTA(Q33:R34)&gt;0,120,0)</f>
        <v>0</v>
      </c>
      <c r="AS33" s="80">
        <f>IF(COUNTIF(T33:T34,"X")&gt;0,0,IF(AND(AF33="Có",COUNTIF(T33:T34,"X")=0),700,0))</f>
        <v>0</v>
      </c>
      <c r="AT33" s="80">
        <f>SUM(AO33:AS34)</f>
        <v>0</v>
      </c>
      <c r="AU33" s="67"/>
      <c r="AV33" s="68"/>
    </row>
    <row r="34" ht="29.25" customHeight="1">
      <c r="A34" s="57"/>
      <c r="B34" s="57"/>
      <c r="C34" s="57"/>
      <c r="D34" s="57"/>
      <c r="E34" s="57"/>
      <c r="F34" s="57"/>
      <c r="G34" s="57"/>
      <c r="H34" s="57"/>
      <c r="I34" s="57"/>
      <c r="J34" s="57"/>
      <c r="K34" s="57"/>
      <c r="L34" s="57"/>
      <c r="M34" s="57"/>
      <c r="N34" s="57"/>
      <c r="O34" s="57"/>
      <c r="P34" s="57"/>
      <c r="Q34" s="57"/>
      <c r="R34" s="57"/>
      <c r="S34" s="74" t="str">
        <f>IF(C33="Nữ","Đội nữ 5 người",IF(C33="Nam","Đội nam 5 người",""))</f>
        <v/>
      </c>
      <c r="T34" s="77"/>
      <c r="U34" s="77"/>
      <c r="V34" s="77"/>
      <c r="W34" s="57"/>
      <c r="X34" s="57"/>
      <c r="Y34" s="57"/>
      <c r="Z34" s="57"/>
      <c r="AA34" s="57"/>
      <c r="AB34" s="57"/>
      <c r="AC34" s="57"/>
      <c r="AD34" s="57"/>
      <c r="AE34" s="57"/>
      <c r="AF34" s="57"/>
      <c r="AG34" s="77" t="s">
        <v>71</v>
      </c>
      <c r="AH34" s="82"/>
      <c r="AI34" s="82"/>
      <c r="AJ34" s="82"/>
      <c r="AK34" s="69" t="s">
        <v>51</v>
      </c>
      <c r="AL34" s="82"/>
      <c r="AM34" s="82"/>
      <c r="AN34" s="57"/>
      <c r="AO34" s="57"/>
      <c r="AP34" s="57"/>
      <c r="AQ34" s="57"/>
      <c r="AR34" s="57"/>
      <c r="AS34" s="57"/>
      <c r="AT34" s="57"/>
      <c r="AU34" s="67"/>
      <c r="AV34" s="68"/>
    </row>
    <row r="35" ht="29.25" customHeight="1">
      <c r="A35" s="70">
        <f>INT((ROW()-9)/2)+1</f>
        <v>14</v>
      </c>
      <c r="B35" s="70"/>
      <c r="C35" s="70"/>
      <c r="D35" s="70"/>
      <c r="E35" s="70"/>
      <c r="F35" s="70"/>
      <c r="G35" s="73"/>
      <c r="H35" s="73"/>
      <c r="I35" s="73"/>
      <c r="J35" s="73"/>
      <c r="K35" s="73"/>
      <c r="L35" s="73"/>
      <c r="M35" s="70"/>
      <c r="N35" s="73"/>
      <c r="O35" s="73"/>
      <c r="P35" s="70"/>
      <c r="Q35" s="70"/>
      <c r="R35" s="70"/>
      <c r="S35" s="74" t="str">
        <f>IF(C35="Nữ","Đội nữ 3 người",IF(C35="Nam","Đội nam 3 người",""))</f>
        <v/>
      </c>
      <c r="T35" s="77"/>
      <c r="U35" s="77"/>
      <c r="V35" s="77"/>
      <c r="W35" s="70"/>
      <c r="X35" s="70"/>
      <c r="Y35" s="81"/>
      <c r="Z35" s="81"/>
      <c r="AA35" s="81"/>
      <c r="AB35" s="81"/>
      <c r="AC35" s="81"/>
      <c r="AD35" s="81"/>
      <c r="AE35" s="73"/>
      <c r="AF35" s="73"/>
      <c r="AG35" s="77" t="s">
        <v>68</v>
      </c>
      <c r="AH35" s="82"/>
      <c r="AI35" s="82"/>
      <c r="AJ35" s="82"/>
      <c r="AK35" s="82"/>
      <c r="AL35" s="82"/>
      <c r="AM35" s="82"/>
      <c r="AN35" s="70" t="str">
        <f>IF(COUNTIF(T35:T36,"X")&gt;0,"VĐV","Khác")</f>
        <v>Khác</v>
      </c>
      <c r="AO35" s="79">
        <f t="array" ref="AO35">IFERROR(IF(AND(K35="Có",Q35="1 Kyu"),1000,IF(AND(K35="Không",Q35="1 Kyu"),2000,0)),"")+IFERROR(IFS(AND(K35="Có",R35="1 Dan"),1500,AND(K35="Không",R35="1 Dan"),2500,AND(K35="Có",R35="2 Dan"),2200,AND(K35="Không",R35="2 Dan"),4200,AND(K35="Có",R35="3 Dan"),3000,AND(K35="Không",R35="3 Dan"),5000,AND(K35="Có",R35="4 Dan"),4500,AND(K35="Không",R35="4 Dan"),6500,AND(K35="Có",R35="5 Dan"),6000,AND(K35="Không",R35="5 Dan"),8000),0)</f>
        <v>0</v>
      </c>
      <c r="AP35" s="80">
        <f t="array" ref="AP35">IFERROR(IFS(AND(COUNTIF(T35:T36,"X")=1,K35="Có",AB35="Phòng đơn"),1900,AND(COUNTIF(T35:T36,"X")=1,K35="Có",AB35="Phòng đôi"),1550,AND(COUNTIF(T35:T36,"X")=1,K35="Có",AB35="Phòng ba"),1450,AND(COUNTIF(T35:T36,"X")=2,K35="Có",AB35="Phòng đơn"),2200,AND(COUNTIF(T35:T36,"X")=2,K35="Có",AB35="Phòng đôi"),1850,AND(COUNTIF(T35:T36,"X")=2,K35="Có",AB35="Phòng ba"),1750,
AND(COUNTIF(T35:T36,"X")=1,K35="Không",AB35="Phòng đơn"),2400,AND(COUNTIF(T35:T36,"X")=1,K35="Không",AB35="Phòng đôi"),1950,AND(COUNTIF(T35:T36,"X")=1,K35="Không",AB35="Phòng ba"),1850,AND(COUNTIF(T35:T36,"X")=2,K35="Không",AB35="Phòng đơn"),2800,AND(COUNTIF(T35:T36,"X")=2,K35="Không",AB35="Phòng đôi"),2350,AND(COUNTIF(T35:T36,"X")=2,K35="Không",AB35="Phòng ba"),2250),0)</f>
        <v>0</v>
      </c>
      <c r="AQ35" s="80">
        <f>COUNTIF(Y35:AD36,"Phòng đơn")*700
+COUNTIF(Y35:AD36,"Phòng đôi")*350
+COUNTIF(Y35:AD36,"Phòng ba")*250
-IF(AND(COUNTIF(T35:T36,"X")&gt;0,AB35&lt;&gt;""),IF(AB35="Phòng đơn",700,IF(AB35="Phòng đôi",350,IF(AB35="Phòng ba",250,0))),0)</f>
        <v>0</v>
      </c>
      <c r="AR35" s="73">
        <f>COUNTIF(AH35:AM35,"X")*120
+COUNTIF(AH36:AM36,"X")*200
-COUNTIF(T35:T36,"X")*120
-IF(COUNTA(Q35:R36)&gt;0,120,0)</f>
        <v>0</v>
      </c>
      <c r="AS35" s="80">
        <f>IF(COUNTIF(T35:T36,"X")&gt;0,0,IF(AND(AF35="Có",COUNTIF(T35:T36,"X")=0),700,0))</f>
        <v>0</v>
      </c>
      <c r="AT35" s="80">
        <f>SUM(AO35:AS36)</f>
        <v>0</v>
      </c>
      <c r="AU35" s="67"/>
      <c r="AV35" s="68"/>
    </row>
    <row r="36" ht="29.25" customHeight="1">
      <c r="A36" s="57"/>
      <c r="B36" s="57"/>
      <c r="C36" s="57"/>
      <c r="D36" s="57"/>
      <c r="E36" s="57"/>
      <c r="F36" s="57"/>
      <c r="G36" s="57"/>
      <c r="H36" s="57"/>
      <c r="I36" s="57"/>
      <c r="J36" s="57"/>
      <c r="K36" s="57"/>
      <c r="L36" s="57"/>
      <c r="M36" s="57"/>
      <c r="N36" s="57"/>
      <c r="O36" s="57"/>
      <c r="P36" s="57"/>
      <c r="Q36" s="57"/>
      <c r="R36" s="57"/>
      <c r="S36" s="74" t="str">
        <f>IF(C35="Nữ","Đội nữ 5 người",IF(C35="Nam","Đội nam 5 người",""))</f>
        <v/>
      </c>
      <c r="T36" s="77"/>
      <c r="U36" s="77"/>
      <c r="V36" s="77"/>
      <c r="W36" s="57"/>
      <c r="X36" s="57"/>
      <c r="Y36" s="57"/>
      <c r="Z36" s="57"/>
      <c r="AA36" s="57"/>
      <c r="AB36" s="57"/>
      <c r="AC36" s="57"/>
      <c r="AD36" s="57"/>
      <c r="AE36" s="57"/>
      <c r="AF36" s="57"/>
      <c r="AG36" s="77" t="s">
        <v>71</v>
      </c>
      <c r="AH36" s="82"/>
      <c r="AI36" s="82"/>
      <c r="AJ36" s="82"/>
      <c r="AK36" s="69" t="s">
        <v>51</v>
      </c>
      <c r="AL36" s="82"/>
      <c r="AM36" s="82"/>
      <c r="AN36" s="57"/>
      <c r="AO36" s="57"/>
      <c r="AP36" s="57"/>
      <c r="AQ36" s="57"/>
      <c r="AR36" s="57"/>
      <c r="AS36" s="57"/>
      <c r="AT36" s="57"/>
      <c r="AU36" s="67"/>
      <c r="AV36" s="68"/>
    </row>
    <row r="37" ht="29.25" customHeight="1">
      <c r="A37" s="70">
        <f>INT((ROW()-9)/2)+1</f>
        <v>15</v>
      </c>
      <c r="B37" s="70"/>
      <c r="C37" s="70"/>
      <c r="D37" s="70"/>
      <c r="E37" s="70"/>
      <c r="F37" s="70"/>
      <c r="G37" s="73"/>
      <c r="H37" s="73"/>
      <c r="I37" s="73"/>
      <c r="J37" s="73"/>
      <c r="K37" s="73"/>
      <c r="L37" s="73"/>
      <c r="M37" s="70"/>
      <c r="N37" s="73"/>
      <c r="O37" s="73"/>
      <c r="P37" s="70"/>
      <c r="Q37" s="70"/>
      <c r="R37" s="70"/>
      <c r="S37" s="74" t="str">
        <f>IF(C37="Nữ","Đội nữ 3 người",IF(C37="Nam","Đội nam 3 người",""))</f>
        <v/>
      </c>
      <c r="T37" s="77"/>
      <c r="U37" s="77"/>
      <c r="V37" s="77"/>
      <c r="W37" s="70"/>
      <c r="X37" s="70"/>
      <c r="Y37" s="81"/>
      <c r="Z37" s="81"/>
      <c r="AA37" s="81"/>
      <c r="AB37" s="81"/>
      <c r="AC37" s="81"/>
      <c r="AD37" s="81"/>
      <c r="AE37" s="73"/>
      <c r="AF37" s="73"/>
      <c r="AG37" s="77" t="s">
        <v>68</v>
      </c>
      <c r="AH37" s="82"/>
      <c r="AI37" s="82"/>
      <c r="AJ37" s="82"/>
      <c r="AK37" s="82"/>
      <c r="AL37" s="82"/>
      <c r="AM37" s="82"/>
      <c r="AN37" s="70" t="str">
        <f>IF(COUNTIF(T37:T38,"X")&gt;0,"VĐV","Khác")</f>
        <v>Khác</v>
      </c>
      <c r="AO37" s="79">
        <f t="array" ref="AO37">IFERROR(IF(AND(K37="Có",Q37="1 Kyu"),1000,IF(AND(K37="Không",Q37="1 Kyu"),2000,0)),"")+IFERROR(IFS(AND(K37="Có",R37="1 Dan"),1500,AND(K37="Không",R37="1 Dan"),2500,AND(K37="Có",R37="2 Dan"),2200,AND(K37="Không",R37="2 Dan"),4200,AND(K37="Có",R37="3 Dan"),3000,AND(K37="Không",R37="3 Dan"),5000,AND(K37="Có",R37="4 Dan"),4500,AND(K37="Không",R37="4 Dan"),6500,AND(K37="Có",R37="5 Dan"),6000,AND(K37="Không",R37="5 Dan"),8000),0)</f>
        <v>0</v>
      </c>
      <c r="AP37" s="80">
        <f t="array" ref="AP37">IFERROR(IFS(AND(COUNTIF(T37:T38,"X")=1,K37="Có",AB37="Phòng đơn"),1900,AND(COUNTIF(T37:T38,"X")=1,K37="Có",AB37="Phòng đôi"),1550,AND(COUNTIF(T37:T38,"X")=1,K37="Có",AB37="Phòng ba"),1450,AND(COUNTIF(T37:T38,"X")=2,K37="Có",AB37="Phòng đơn"),2200,AND(COUNTIF(T37:T38,"X")=2,K37="Có",AB37="Phòng đôi"),1850,AND(COUNTIF(T37:T38,"X")=2,K37="Có",AB37="Phòng ba"),1750,
AND(COUNTIF(T37:T38,"X")=1,K37="Không",AB37="Phòng đơn"),2400,AND(COUNTIF(T37:T38,"X")=1,K37="Không",AB37="Phòng đôi"),1950,AND(COUNTIF(T37:T38,"X")=1,K37="Không",AB37="Phòng ba"),1850,AND(COUNTIF(T37:T38,"X")=2,K37="Không",AB37="Phòng đơn"),2800,AND(COUNTIF(T37:T38,"X")=2,K37="Không",AB37="Phòng đôi"),2350,AND(COUNTIF(T37:T38,"X")=2,K37="Không",AB37="Phòng ba"),2250),0)</f>
        <v>0</v>
      </c>
      <c r="AQ37" s="80">
        <f>COUNTIF(Y37:AD38,"Phòng đơn")*700
+COUNTIF(Y37:AD38,"Phòng đôi")*350
+COUNTIF(Y37:AD38,"Phòng ba")*250
-IF(AND(COUNTIF(T37:T38,"X")&gt;0,AB37&lt;&gt;""),IF(AB37="Phòng đơn",700,IF(AB37="Phòng đôi",350,IF(AB37="Phòng ba",250,0))),0)</f>
        <v>0</v>
      </c>
      <c r="AR37" s="73">
        <f>COUNTIF(AH37:AM37,"X")*120
+COUNTIF(AH38:AM38,"X")*200
-COUNTIF(T37:T38,"X")*120
-IF(COUNTA(Q37:R38)&gt;0,120,0)</f>
        <v>0</v>
      </c>
      <c r="AS37" s="80">
        <f>IF(COUNTIF(T37:T38,"X")&gt;0,0,IF(AND(AF37="Có",COUNTIF(T37:T38,"X")=0),700,0))</f>
        <v>0</v>
      </c>
      <c r="AT37" s="80">
        <f>SUM(AO37:AS38)</f>
        <v>0</v>
      </c>
      <c r="AU37" s="67"/>
      <c r="AV37" s="68"/>
    </row>
    <row r="38" ht="29.25" customHeight="1">
      <c r="A38" s="57"/>
      <c r="B38" s="57"/>
      <c r="C38" s="57"/>
      <c r="D38" s="57"/>
      <c r="E38" s="57"/>
      <c r="F38" s="57"/>
      <c r="G38" s="57"/>
      <c r="H38" s="57"/>
      <c r="I38" s="57"/>
      <c r="J38" s="57"/>
      <c r="K38" s="57"/>
      <c r="L38" s="57"/>
      <c r="M38" s="57"/>
      <c r="N38" s="57"/>
      <c r="O38" s="57"/>
      <c r="P38" s="57"/>
      <c r="Q38" s="57"/>
      <c r="R38" s="57"/>
      <c r="S38" s="74" t="str">
        <f>IF(C37="Nữ","Đội nữ 5 người",IF(C37="Nam","Đội nam 5 người",""))</f>
        <v/>
      </c>
      <c r="T38" s="77"/>
      <c r="U38" s="77"/>
      <c r="V38" s="77"/>
      <c r="W38" s="57"/>
      <c r="X38" s="57"/>
      <c r="Y38" s="57"/>
      <c r="Z38" s="57"/>
      <c r="AA38" s="57"/>
      <c r="AB38" s="57"/>
      <c r="AC38" s="57"/>
      <c r="AD38" s="57"/>
      <c r="AE38" s="57"/>
      <c r="AF38" s="57"/>
      <c r="AG38" s="77" t="s">
        <v>71</v>
      </c>
      <c r="AH38" s="82"/>
      <c r="AI38" s="82"/>
      <c r="AJ38" s="82"/>
      <c r="AK38" s="69" t="s">
        <v>51</v>
      </c>
      <c r="AL38" s="82"/>
      <c r="AM38" s="82"/>
      <c r="AN38" s="57"/>
      <c r="AO38" s="57"/>
      <c r="AP38" s="57"/>
      <c r="AQ38" s="57"/>
      <c r="AR38" s="57"/>
      <c r="AS38" s="57"/>
      <c r="AT38" s="57"/>
      <c r="AU38" s="67"/>
      <c r="AV38" s="68"/>
    </row>
    <row r="39" ht="29.25" customHeight="1">
      <c r="A39" s="70">
        <f>INT((ROW()-9)/2)+1</f>
        <v>16</v>
      </c>
      <c r="B39" s="70"/>
      <c r="C39" s="70"/>
      <c r="D39" s="70"/>
      <c r="E39" s="70"/>
      <c r="F39" s="70"/>
      <c r="G39" s="73"/>
      <c r="H39" s="73"/>
      <c r="I39" s="73"/>
      <c r="J39" s="73"/>
      <c r="K39" s="73"/>
      <c r="L39" s="73"/>
      <c r="M39" s="70"/>
      <c r="N39" s="73"/>
      <c r="O39" s="73"/>
      <c r="P39" s="70"/>
      <c r="Q39" s="70"/>
      <c r="R39" s="70"/>
      <c r="S39" s="74" t="str">
        <f>IF(C39="Nữ","Đội nữ 3 người",IF(C39="Nam","Đội nam 3 người",""))</f>
        <v/>
      </c>
      <c r="T39" s="77"/>
      <c r="U39" s="77"/>
      <c r="V39" s="77"/>
      <c r="W39" s="70"/>
      <c r="X39" s="70"/>
      <c r="Y39" s="81"/>
      <c r="Z39" s="81"/>
      <c r="AA39" s="81"/>
      <c r="AB39" s="81"/>
      <c r="AC39" s="81"/>
      <c r="AD39" s="81"/>
      <c r="AE39" s="73"/>
      <c r="AF39" s="73"/>
      <c r="AG39" s="77" t="s">
        <v>68</v>
      </c>
      <c r="AH39" s="82"/>
      <c r="AI39" s="82"/>
      <c r="AJ39" s="82"/>
      <c r="AK39" s="82"/>
      <c r="AL39" s="82"/>
      <c r="AM39" s="82"/>
      <c r="AN39" s="70" t="str">
        <f>IF(COUNTIF(T39:T40,"X")&gt;0,"VĐV","Khác")</f>
        <v>Khác</v>
      </c>
      <c r="AO39" s="79">
        <f t="array" ref="AO39">IFERROR(IF(AND(K39="Có",Q39="1 Kyu"),1000,IF(AND(K39="Không",Q39="1 Kyu"),2000,0)),"")+IFERROR(IFS(AND(K39="Có",R39="1 Dan"),1500,AND(K39="Không",R39="1 Dan"),2500,AND(K39="Có",R39="2 Dan"),2200,AND(K39="Không",R39="2 Dan"),4200,AND(K39="Có",R39="3 Dan"),3000,AND(K39="Không",R39="3 Dan"),5000,AND(K39="Có",R39="4 Dan"),4500,AND(K39="Không",R39="4 Dan"),6500,AND(K39="Có",R39="5 Dan"),6000,AND(K39="Không",R39="5 Dan"),8000),0)</f>
        <v>0</v>
      </c>
      <c r="AP39" s="80">
        <f t="array" ref="AP39">IFERROR(IFS(AND(COUNTIF(T39:T40,"X")=1,K39="Có",AB39="Phòng đơn"),1900,AND(COUNTIF(T39:T40,"X")=1,K39="Có",AB39="Phòng đôi"),1550,AND(COUNTIF(T39:T40,"X")=1,K39="Có",AB39="Phòng ba"),1450,AND(COUNTIF(T39:T40,"X")=2,K39="Có",AB39="Phòng đơn"),2200,AND(COUNTIF(T39:T40,"X")=2,K39="Có",AB39="Phòng đôi"),1850,AND(COUNTIF(T39:T40,"X")=2,K39="Có",AB39="Phòng ba"),1750,
AND(COUNTIF(T39:T40,"X")=1,K39="Không",AB39="Phòng đơn"),2400,AND(COUNTIF(T39:T40,"X")=1,K39="Không",AB39="Phòng đôi"),1950,AND(COUNTIF(T39:T40,"X")=1,K39="Không",AB39="Phòng ba"),1850,AND(COUNTIF(T39:T40,"X")=2,K39="Không",AB39="Phòng đơn"),2800,AND(COUNTIF(T39:T40,"X")=2,K39="Không",AB39="Phòng đôi"),2350,AND(COUNTIF(T39:T40,"X")=2,K39="Không",AB39="Phòng ba"),2250),0)</f>
        <v>0</v>
      </c>
      <c r="AQ39" s="80">
        <f>COUNTIF(Y39:AD40,"Phòng đơn")*700
+COUNTIF(Y39:AD40,"Phòng đôi")*350
+COUNTIF(Y39:AD40,"Phòng ba")*250
-IF(AND(COUNTIF(T39:T40,"X")&gt;0,AB39&lt;&gt;""),IF(AB39="Phòng đơn",700,IF(AB39="Phòng đôi",350,IF(AB39="Phòng ba",250,0))),0)</f>
        <v>0</v>
      </c>
      <c r="AR39" s="73">
        <f>COUNTIF(AH39:AM39,"X")*120
+COUNTIF(AH40:AM40,"X")*200
-COUNTIF(T39:T40,"X")*120
-IF(COUNTA(Q39:R40)&gt;0,120,0)</f>
        <v>0</v>
      </c>
      <c r="AS39" s="80">
        <f>IF(COUNTIF(T39:T40,"X")&gt;0,0,IF(AND(AF39="Có",COUNTIF(T39:T40,"X")=0),700,0))</f>
        <v>0</v>
      </c>
      <c r="AT39" s="80">
        <f>SUM(AO39:AS40)</f>
        <v>0</v>
      </c>
      <c r="AU39" s="67"/>
      <c r="AV39" s="68"/>
    </row>
    <row r="40" ht="29.25" customHeight="1">
      <c r="A40" s="57"/>
      <c r="B40" s="57"/>
      <c r="C40" s="57"/>
      <c r="D40" s="57"/>
      <c r="E40" s="57"/>
      <c r="F40" s="57"/>
      <c r="G40" s="57"/>
      <c r="H40" s="57"/>
      <c r="I40" s="57"/>
      <c r="J40" s="57"/>
      <c r="K40" s="57"/>
      <c r="L40" s="57"/>
      <c r="M40" s="57"/>
      <c r="N40" s="57"/>
      <c r="O40" s="57"/>
      <c r="P40" s="57"/>
      <c r="Q40" s="57"/>
      <c r="R40" s="57"/>
      <c r="S40" s="74" t="str">
        <f>IF(C39="Nữ","Đội nữ 5 người",IF(C39="Nam","Đội nam 5 người",""))</f>
        <v/>
      </c>
      <c r="T40" s="77"/>
      <c r="U40" s="77"/>
      <c r="V40" s="77"/>
      <c r="W40" s="57"/>
      <c r="X40" s="57"/>
      <c r="Y40" s="57"/>
      <c r="Z40" s="57"/>
      <c r="AA40" s="57"/>
      <c r="AB40" s="57"/>
      <c r="AC40" s="57"/>
      <c r="AD40" s="57"/>
      <c r="AE40" s="57"/>
      <c r="AF40" s="57"/>
      <c r="AG40" s="77" t="s">
        <v>71</v>
      </c>
      <c r="AH40" s="82"/>
      <c r="AI40" s="82"/>
      <c r="AJ40" s="82"/>
      <c r="AK40" s="69" t="s">
        <v>51</v>
      </c>
      <c r="AL40" s="82"/>
      <c r="AM40" s="82"/>
      <c r="AN40" s="57"/>
      <c r="AO40" s="57"/>
      <c r="AP40" s="57"/>
      <c r="AQ40" s="57"/>
      <c r="AR40" s="57"/>
      <c r="AS40" s="57"/>
      <c r="AT40" s="57"/>
      <c r="AU40" s="67"/>
      <c r="AV40" s="68"/>
    </row>
    <row r="41" ht="29.25" customHeight="1">
      <c r="A41" s="70">
        <f>INT((ROW()-9)/2)+1</f>
        <v>17</v>
      </c>
      <c r="B41" s="70"/>
      <c r="C41" s="70"/>
      <c r="D41" s="70"/>
      <c r="E41" s="70"/>
      <c r="F41" s="70"/>
      <c r="G41" s="73"/>
      <c r="H41" s="73"/>
      <c r="I41" s="73"/>
      <c r="J41" s="73"/>
      <c r="K41" s="73"/>
      <c r="L41" s="73"/>
      <c r="M41" s="70"/>
      <c r="N41" s="73"/>
      <c r="O41" s="73"/>
      <c r="P41" s="70"/>
      <c r="Q41" s="70"/>
      <c r="R41" s="70"/>
      <c r="S41" s="74" t="str">
        <f>IF(C41="Nữ","Đội nữ 3 người",IF(C41="Nam","Đội nam 3 người",""))</f>
        <v/>
      </c>
      <c r="T41" s="77"/>
      <c r="U41" s="77"/>
      <c r="V41" s="77"/>
      <c r="W41" s="70"/>
      <c r="X41" s="70"/>
      <c r="Y41" s="81"/>
      <c r="Z41" s="81"/>
      <c r="AA41" s="81"/>
      <c r="AB41" s="81"/>
      <c r="AC41" s="81"/>
      <c r="AD41" s="81"/>
      <c r="AE41" s="73"/>
      <c r="AF41" s="73"/>
      <c r="AG41" s="77" t="s">
        <v>68</v>
      </c>
      <c r="AH41" s="82"/>
      <c r="AI41" s="82"/>
      <c r="AJ41" s="82"/>
      <c r="AK41" s="82"/>
      <c r="AL41" s="82"/>
      <c r="AM41" s="82"/>
      <c r="AN41" s="70" t="str">
        <f>IF(COUNTIF(T41:T42,"X")&gt;0,"VĐV","Khác")</f>
        <v>Khác</v>
      </c>
      <c r="AO41" s="79">
        <f t="array" ref="AO41">IFERROR(IF(AND(K41="Có",Q41="1 Kyu"),1000,IF(AND(K41="Không",Q41="1 Kyu"),2000,0)),"")+IFERROR(IFS(AND(K41="Có",R41="1 Dan"),1500,AND(K41="Không",R41="1 Dan"),2500,AND(K41="Có",R41="2 Dan"),2200,AND(K41="Không",R41="2 Dan"),4200,AND(K41="Có",R41="3 Dan"),3000,AND(K41="Không",R41="3 Dan"),5000,AND(K41="Có",R41="4 Dan"),4500,AND(K41="Không",R41="4 Dan"),6500,AND(K41="Có",R41="5 Dan"),6000,AND(K41="Không",R41="5 Dan"),8000),0)</f>
        <v>0</v>
      </c>
      <c r="AP41" s="80">
        <f t="array" ref="AP41">IFERROR(IFS(AND(COUNTIF(T41:T42,"X")=1,K41="Có",AB41="Phòng đơn"),1900,AND(COUNTIF(T41:T42,"X")=1,K41="Có",AB41="Phòng đôi"),1550,AND(COUNTIF(T41:T42,"X")=1,K41="Có",AB41="Phòng ba"),1450,AND(COUNTIF(T41:T42,"X")=2,K41="Có",AB41="Phòng đơn"),2200,AND(COUNTIF(T41:T42,"X")=2,K41="Có",AB41="Phòng đôi"),1850,AND(COUNTIF(T41:T42,"X")=2,K41="Có",AB41="Phòng ba"),1750,
AND(COUNTIF(T41:T42,"X")=1,K41="Không",AB41="Phòng đơn"),2400,AND(COUNTIF(T41:T42,"X")=1,K41="Không",AB41="Phòng đôi"),1950,AND(COUNTIF(T41:T42,"X")=1,K41="Không",AB41="Phòng ba"),1850,AND(COUNTIF(T41:T42,"X")=2,K41="Không",AB41="Phòng đơn"),2800,AND(COUNTIF(T41:T42,"X")=2,K41="Không",AB41="Phòng đôi"),2350,AND(COUNTIF(T41:T42,"X")=2,K41="Không",AB41="Phòng ba"),2250),0)</f>
        <v>0</v>
      </c>
      <c r="AQ41" s="80">
        <f>COUNTIF(Y41:AD42,"Phòng đơn")*700
+COUNTIF(Y41:AD42,"Phòng đôi")*350
+COUNTIF(Y41:AD42,"Phòng ba")*250
-IF(AND(COUNTIF(T41:T42,"X")&gt;0,AB41&lt;&gt;""),IF(AB41="Phòng đơn",700,IF(AB41="Phòng đôi",350,IF(AB41="Phòng ba",250,0))),0)</f>
        <v>0</v>
      </c>
      <c r="AR41" s="73">
        <f>COUNTIF(AH41:AM41,"X")*120
+COUNTIF(AH42:AM42,"X")*200
-COUNTIF(T41:T42,"X")*120
-IF(COUNTA(Q41:R42)&gt;0,120,0)</f>
        <v>0</v>
      </c>
      <c r="AS41" s="80">
        <f>IF(COUNTIF(T41:T42,"X")&gt;0,0,IF(AND(AF41="Có",COUNTIF(T41:T42,"X")=0),700,0))</f>
        <v>0</v>
      </c>
      <c r="AT41" s="80">
        <f>SUM(AO41:AS42)</f>
        <v>0</v>
      </c>
      <c r="AU41" s="67"/>
      <c r="AV41" s="68"/>
    </row>
    <row r="42" ht="29.25" customHeight="1">
      <c r="A42" s="57"/>
      <c r="B42" s="57"/>
      <c r="C42" s="57"/>
      <c r="D42" s="57"/>
      <c r="E42" s="57"/>
      <c r="F42" s="57"/>
      <c r="G42" s="57"/>
      <c r="H42" s="57"/>
      <c r="I42" s="57"/>
      <c r="J42" s="57"/>
      <c r="K42" s="57"/>
      <c r="L42" s="57"/>
      <c r="M42" s="57"/>
      <c r="N42" s="57"/>
      <c r="O42" s="57"/>
      <c r="P42" s="57"/>
      <c r="Q42" s="57"/>
      <c r="R42" s="57"/>
      <c r="S42" s="74" t="str">
        <f>IF(C41="Nữ","Đội nữ 5 người",IF(C41="Nam","Đội nam 5 người",""))</f>
        <v/>
      </c>
      <c r="T42" s="77"/>
      <c r="U42" s="77"/>
      <c r="V42" s="77"/>
      <c r="W42" s="57"/>
      <c r="X42" s="57"/>
      <c r="Y42" s="57"/>
      <c r="Z42" s="57"/>
      <c r="AA42" s="57"/>
      <c r="AB42" s="57"/>
      <c r="AC42" s="57"/>
      <c r="AD42" s="57"/>
      <c r="AE42" s="57"/>
      <c r="AF42" s="57"/>
      <c r="AG42" s="77" t="s">
        <v>71</v>
      </c>
      <c r="AH42" s="82"/>
      <c r="AI42" s="82"/>
      <c r="AJ42" s="82"/>
      <c r="AK42" s="69" t="s">
        <v>51</v>
      </c>
      <c r="AL42" s="82"/>
      <c r="AM42" s="82"/>
      <c r="AN42" s="57"/>
      <c r="AO42" s="57"/>
      <c r="AP42" s="57"/>
      <c r="AQ42" s="57"/>
      <c r="AR42" s="57"/>
      <c r="AS42" s="57"/>
      <c r="AT42" s="57"/>
      <c r="AU42" s="67"/>
      <c r="AV42" s="68"/>
    </row>
    <row r="43" ht="29.25" customHeight="1">
      <c r="A43" s="70">
        <f>INT((ROW()-9)/2)+1</f>
        <v>18</v>
      </c>
      <c r="B43" s="70"/>
      <c r="C43" s="70"/>
      <c r="D43" s="70"/>
      <c r="E43" s="70"/>
      <c r="F43" s="70"/>
      <c r="G43" s="73"/>
      <c r="H43" s="73"/>
      <c r="I43" s="73"/>
      <c r="J43" s="73"/>
      <c r="K43" s="73"/>
      <c r="L43" s="73"/>
      <c r="M43" s="70"/>
      <c r="N43" s="73"/>
      <c r="O43" s="73"/>
      <c r="P43" s="70"/>
      <c r="Q43" s="70"/>
      <c r="R43" s="70"/>
      <c r="S43" s="74" t="str">
        <f>IF(C43="Nữ","Đội nữ 3 người",IF(C43="Nam","Đội nam 3 người",""))</f>
        <v/>
      </c>
      <c r="T43" s="77"/>
      <c r="U43" s="77"/>
      <c r="V43" s="77"/>
      <c r="W43" s="70"/>
      <c r="X43" s="70"/>
      <c r="Y43" s="81"/>
      <c r="Z43" s="81"/>
      <c r="AA43" s="81"/>
      <c r="AB43" s="81"/>
      <c r="AC43" s="81"/>
      <c r="AD43" s="81"/>
      <c r="AE43" s="73"/>
      <c r="AF43" s="73"/>
      <c r="AG43" s="77" t="s">
        <v>68</v>
      </c>
      <c r="AH43" s="82"/>
      <c r="AI43" s="82"/>
      <c r="AJ43" s="82"/>
      <c r="AK43" s="82"/>
      <c r="AL43" s="82"/>
      <c r="AM43" s="82"/>
      <c r="AN43" s="70" t="str">
        <f>IF(COUNTIF(T43:T44,"X")&gt;0,"VĐV","Khác")</f>
        <v>Khác</v>
      </c>
      <c r="AO43" s="79">
        <f t="array" ref="AO43">IFERROR(IF(AND(K43="Có",Q43="1 Kyu"),1000,IF(AND(K43="Không",Q43="1 Kyu"),2000,0)),"")+IFERROR(IFS(AND(K43="Có",R43="1 Dan"),1500,AND(K43="Không",R43="1 Dan"),2500,AND(K43="Có",R43="2 Dan"),2200,AND(K43="Không",R43="2 Dan"),4200,AND(K43="Có",R43="3 Dan"),3000,AND(K43="Không",R43="3 Dan"),5000,AND(K43="Có",R43="4 Dan"),4500,AND(K43="Không",R43="4 Dan"),6500,AND(K43="Có",R43="5 Dan"),6000,AND(K43="Không",R43="5 Dan"),8000),0)</f>
        <v>0</v>
      </c>
      <c r="AP43" s="80">
        <f t="array" ref="AP43">IFERROR(IFS(AND(COUNTIF(T43:T44,"X")=1,K43="Có",AB43="Phòng đơn"),1900,AND(COUNTIF(T43:T44,"X")=1,K43="Có",AB43="Phòng đôi"),1550,AND(COUNTIF(T43:T44,"X")=1,K43="Có",AB43="Phòng ba"),1450,AND(COUNTIF(T43:T44,"X")=2,K43="Có",AB43="Phòng đơn"),2200,AND(COUNTIF(T43:T44,"X")=2,K43="Có",AB43="Phòng đôi"),1850,AND(COUNTIF(T43:T44,"X")=2,K43="Có",AB43="Phòng ba"),1750,
AND(COUNTIF(T43:T44,"X")=1,K43="Không",AB43="Phòng đơn"),2400,AND(COUNTIF(T43:T44,"X")=1,K43="Không",AB43="Phòng đôi"),1950,AND(COUNTIF(T43:T44,"X")=1,K43="Không",AB43="Phòng ba"),1850,AND(COUNTIF(T43:T44,"X")=2,K43="Không",AB43="Phòng đơn"),2800,AND(COUNTIF(T43:T44,"X")=2,K43="Không",AB43="Phòng đôi"),2350,AND(COUNTIF(T43:T44,"X")=2,K43="Không",AB43="Phòng ba"),2250),0)</f>
        <v>0</v>
      </c>
      <c r="AQ43" s="80">
        <f>COUNTIF(Y43:AD44,"Phòng đơn")*700
+COUNTIF(Y43:AD44,"Phòng đôi")*350
+COUNTIF(Y43:AD44,"Phòng ba")*250
-IF(AND(COUNTIF(T43:T44,"X")&gt;0,AB43&lt;&gt;""),IF(AB43="Phòng đơn",700,IF(AB43="Phòng đôi",350,IF(AB43="Phòng ba",250,0))),0)</f>
        <v>0</v>
      </c>
      <c r="AR43" s="73">
        <f>COUNTIF(AH43:AM43,"X")*120
+COUNTIF(AH44:AM44,"X")*200
-COUNTIF(T43:T44,"X")*120
-IF(COUNTA(Q43:R44)&gt;0,120,0)</f>
        <v>0</v>
      </c>
      <c r="AS43" s="80">
        <f>IF(COUNTIF(T43:T44,"X")&gt;0,0,IF(AND(AF43="Có",COUNTIF(T43:T44,"X")=0),700,0))</f>
        <v>0</v>
      </c>
      <c r="AT43" s="80">
        <f>SUM(AO43:AS44)</f>
        <v>0</v>
      </c>
      <c r="AU43" s="67"/>
      <c r="AV43" s="68"/>
    </row>
    <row r="44" ht="29.25" customHeight="1">
      <c r="A44" s="57"/>
      <c r="B44" s="57"/>
      <c r="C44" s="57"/>
      <c r="D44" s="57"/>
      <c r="E44" s="57"/>
      <c r="F44" s="57"/>
      <c r="G44" s="57"/>
      <c r="H44" s="57"/>
      <c r="I44" s="57"/>
      <c r="J44" s="57"/>
      <c r="K44" s="57"/>
      <c r="L44" s="57"/>
      <c r="M44" s="57"/>
      <c r="N44" s="57"/>
      <c r="O44" s="57"/>
      <c r="P44" s="57"/>
      <c r="Q44" s="57"/>
      <c r="R44" s="57"/>
      <c r="S44" s="74" t="str">
        <f>IF(C43="Nữ","Đội nữ 5 người",IF(C43="Nam","Đội nam 5 người",""))</f>
        <v/>
      </c>
      <c r="T44" s="77"/>
      <c r="U44" s="77"/>
      <c r="V44" s="77"/>
      <c r="W44" s="57"/>
      <c r="X44" s="57"/>
      <c r="Y44" s="57"/>
      <c r="Z44" s="57"/>
      <c r="AA44" s="57"/>
      <c r="AB44" s="57"/>
      <c r="AC44" s="57"/>
      <c r="AD44" s="57"/>
      <c r="AE44" s="57"/>
      <c r="AF44" s="57"/>
      <c r="AG44" s="77" t="s">
        <v>71</v>
      </c>
      <c r="AH44" s="82"/>
      <c r="AI44" s="82"/>
      <c r="AJ44" s="82"/>
      <c r="AK44" s="69" t="s">
        <v>51</v>
      </c>
      <c r="AL44" s="82"/>
      <c r="AM44" s="82"/>
      <c r="AN44" s="57"/>
      <c r="AO44" s="57"/>
      <c r="AP44" s="57"/>
      <c r="AQ44" s="57"/>
      <c r="AR44" s="57"/>
      <c r="AS44" s="57"/>
      <c r="AT44" s="57"/>
      <c r="AU44" s="67"/>
      <c r="AV44" s="68"/>
    </row>
    <row r="45" ht="29.25" customHeight="1">
      <c r="A45" s="70">
        <f>INT((ROW()-9)/2)+1</f>
        <v>19</v>
      </c>
      <c r="B45" s="70"/>
      <c r="C45" s="70"/>
      <c r="D45" s="70"/>
      <c r="E45" s="70"/>
      <c r="F45" s="70"/>
      <c r="G45" s="73"/>
      <c r="H45" s="73"/>
      <c r="I45" s="73"/>
      <c r="J45" s="73"/>
      <c r="K45" s="73"/>
      <c r="L45" s="73"/>
      <c r="M45" s="70"/>
      <c r="N45" s="73"/>
      <c r="O45" s="73"/>
      <c r="P45" s="70"/>
      <c r="Q45" s="70"/>
      <c r="R45" s="70"/>
      <c r="S45" s="74" t="str">
        <f>IF(C45="Nữ","Đội nữ 3 người",IF(C45="Nam","Đội nam 3 người",""))</f>
        <v/>
      </c>
      <c r="T45" s="77"/>
      <c r="U45" s="77"/>
      <c r="V45" s="77"/>
      <c r="W45" s="70"/>
      <c r="X45" s="70"/>
      <c r="Y45" s="81"/>
      <c r="Z45" s="81"/>
      <c r="AA45" s="81"/>
      <c r="AB45" s="81"/>
      <c r="AC45" s="81"/>
      <c r="AD45" s="81"/>
      <c r="AE45" s="73"/>
      <c r="AF45" s="73"/>
      <c r="AG45" s="77" t="s">
        <v>68</v>
      </c>
      <c r="AH45" s="82"/>
      <c r="AI45" s="82"/>
      <c r="AJ45" s="82"/>
      <c r="AK45" s="82"/>
      <c r="AL45" s="82"/>
      <c r="AM45" s="82"/>
      <c r="AN45" s="70" t="str">
        <f>IF(COUNTIF(T45:T46,"X")&gt;0,"VĐV","Khác")</f>
        <v>Khác</v>
      </c>
      <c r="AO45" s="79">
        <f t="array" ref="AO45">IFERROR(IF(AND(K45="Có",Q45="1 Kyu"),1000,IF(AND(K45="Không",Q45="1 Kyu"),2000,0)),"")+IFERROR(IFS(AND(K45="Có",R45="1 Dan"),1500,AND(K45="Không",R45="1 Dan"),2500,AND(K45="Có",R45="2 Dan"),2200,AND(K45="Không",R45="2 Dan"),4200,AND(K45="Có",R45="3 Dan"),3000,AND(K45="Không",R45="3 Dan"),5000,AND(K45="Có",R45="4 Dan"),4500,AND(K45="Không",R45="4 Dan"),6500,AND(K45="Có",R45="5 Dan"),6000,AND(K45="Không",R45="5 Dan"),8000),0)</f>
        <v>0</v>
      </c>
      <c r="AP45" s="80">
        <f t="array" ref="AP45">IFERROR(IFS(AND(COUNTIF(T45:T46,"X")=1,K45="Có",AB45="Phòng đơn"),1900,AND(COUNTIF(T45:T46,"X")=1,K45="Có",AB45="Phòng đôi"),1550,AND(COUNTIF(T45:T46,"X")=1,K45="Có",AB45="Phòng ba"),1450,AND(COUNTIF(T45:T46,"X")=2,K45="Có",AB45="Phòng đơn"),2200,AND(COUNTIF(T45:T46,"X")=2,K45="Có",AB45="Phòng đôi"),1850,AND(COUNTIF(T45:T46,"X")=2,K45="Có",AB45="Phòng ba"),1750,
AND(COUNTIF(T45:T46,"X")=1,K45="Không",AB45="Phòng đơn"),2400,AND(COUNTIF(T45:T46,"X")=1,K45="Không",AB45="Phòng đôi"),1950,AND(COUNTIF(T45:T46,"X")=1,K45="Không",AB45="Phòng ba"),1850,AND(COUNTIF(T45:T46,"X")=2,K45="Không",AB45="Phòng đơn"),2800,AND(COUNTIF(T45:T46,"X")=2,K45="Không",AB45="Phòng đôi"),2350,AND(COUNTIF(T45:T46,"X")=2,K45="Không",AB45="Phòng ba"),2250),0)</f>
        <v>0</v>
      </c>
      <c r="AQ45" s="80">
        <f>COUNTIF(Y45:AD46,"Phòng đơn")*700
+COUNTIF(Y45:AD46,"Phòng đôi")*350
+COUNTIF(Y45:AD46,"Phòng ba")*250
-IF(AND(COUNTIF(T45:T46,"X")&gt;0,AB45&lt;&gt;""),IF(AB45="Phòng đơn",700,IF(AB45="Phòng đôi",350,IF(AB45="Phòng ba",250,0))),0)</f>
        <v>0</v>
      </c>
      <c r="AR45" s="73">
        <f>COUNTIF(AH45:AM45,"X")*120
+COUNTIF(AH46:AM46,"X")*200
-COUNTIF(T45:T46,"X")*120
-IF(COUNTA(Q45:R46)&gt;0,120,0)</f>
        <v>0</v>
      </c>
      <c r="AS45" s="80">
        <f>IF(COUNTIF(T45:T46,"X")&gt;0,0,IF(AND(AF45="Có",COUNTIF(T45:T46,"X")=0),700,0))</f>
        <v>0</v>
      </c>
      <c r="AT45" s="80">
        <f>SUM(AO45:AS46)</f>
        <v>0</v>
      </c>
      <c r="AU45" s="67"/>
      <c r="AV45" s="68"/>
    </row>
    <row r="46" ht="29.25" customHeight="1">
      <c r="A46" s="57"/>
      <c r="B46" s="57"/>
      <c r="C46" s="57"/>
      <c r="D46" s="57"/>
      <c r="E46" s="57"/>
      <c r="F46" s="57"/>
      <c r="G46" s="57"/>
      <c r="H46" s="57"/>
      <c r="I46" s="57"/>
      <c r="J46" s="57"/>
      <c r="K46" s="57"/>
      <c r="L46" s="57"/>
      <c r="M46" s="57"/>
      <c r="N46" s="57"/>
      <c r="O46" s="57"/>
      <c r="P46" s="57"/>
      <c r="Q46" s="57"/>
      <c r="R46" s="57"/>
      <c r="S46" s="74" t="str">
        <f>IF(C45="Nữ","Đội nữ 5 người",IF(C45="Nam","Đội nam 5 người",""))</f>
        <v/>
      </c>
      <c r="T46" s="77"/>
      <c r="U46" s="77"/>
      <c r="V46" s="77"/>
      <c r="W46" s="57"/>
      <c r="X46" s="57"/>
      <c r="Y46" s="57"/>
      <c r="Z46" s="57"/>
      <c r="AA46" s="57"/>
      <c r="AB46" s="57"/>
      <c r="AC46" s="57"/>
      <c r="AD46" s="57"/>
      <c r="AE46" s="57"/>
      <c r="AF46" s="57"/>
      <c r="AG46" s="77" t="s">
        <v>71</v>
      </c>
      <c r="AH46" s="82"/>
      <c r="AI46" s="82"/>
      <c r="AJ46" s="82"/>
      <c r="AK46" s="69" t="s">
        <v>51</v>
      </c>
      <c r="AL46" s="82"/>
      <c r="AM46" s="82"/>
      <c r="AN46" s="57"/>
      <c r="AO46" s="57"/>
      <c r="AP46" s="57"/>
      <c r="AQ46" s="57"/>
      <c r="AR46" s="57"/>
      <c r="AS46" s="57"/>
      <c r="AT46" s="57"/>
      <c r="AU46" s="67"/>
      <c r="AV46" s="68"/>
    </row>
    <row r="47" ht="29.25" customHeight="1">
      <c r="A47" s="70">
        <f>INT((ROW()-9)/2)+1</f>
        <v>20</v>
      </c>
      <c r="B47" s="70"/>
      <c r="C47" s="70"/>
      <c r="D47" s="70"/>
      <c r="E47" s="70"/>
      <c r="F47" s="70"/>
      <c r="G47" s="73"/>
      <c r="H47" s="73"/>
      <c r="I47" s="73"/>
      <c r="J47" s="73"/>
      <c r="K47" s="73"/>
      <c r="L47" s="73"/>
      <c r="M47" s="70"/>
      <c r="N47" s="73"/>
      <c r="O47" s="73"/>
      <c r="P47" s="70"/>
      <c r="Q47" s="70"/>
      <c r="R47" s="70"/>
      <c r="S47" s="74" t="str">
        <f>IF(C47="Nữ","Đội nữ 3 người",IF(C47="Nam","Đội nam 3 người",""))</f>
        <v/>
      </c>
      <c r="T47" s="77"/>
      <c r="U47" s="77"/>
      <c r="V47" s="77"/>
      <c r="W47" s="70"/>
      <c r="X47" s="70"/>
      <c r="Y47" s="81"/>
      <c r="Z47" s="81"/>
      <c r="AA47" s="81"/>
      <c r="AB47" s="81"/>
      <c r="AC47" s="81"/>
      <c r="AD47" s="81"/>
      <c r="AE47" s="73"/>
      <c r="AF47" s="73"/>
      <c r="AG47" s="77" t="s">
        <v>68</v>
      </c>
      <c r="AH47" s="82"/>
      <c r="AI47" s="82"/>
      <c r="AJ47" s="82"/>
      <c r="AK47" s="82"/>
      <c r="AL47" s="82"/>
      <c r="AM47" s="82"/>
      <c r="AN47" s="70" t="str">
        <f>IF(COUNTIF(T47:T48,"X")&gt;0,"VĐV","Khác")</f>
        <v>Khác</v>
      </c>
      <c r="AO47" s="79">
        <f t="array" ref="AO47">IFERROR(IF(AND(K47="Có",Q47="1 Kyu"),1000,IF(AND(K47="Không",Q47="1 Kyu"),2000,0)),"")+IFERROR(IFS(AND(K47="Có",R47="1 Dan"),1500,AND(K47="Không",R47="1 Dan"),2500,AND(K47="Có",R47="2 Dan"),2200,AND(K47="Không",R47="2 Dan"),4200,AND(K47="Có",R47="3 Dan"),3000,AND(K47="Không",R47="3 Dan"),5000,AND(K47="Có",R47="4 Dan"),4500,AND(K47="Không",R47="4 Dan"),6500,AND(K47="Có",R47="5 Dan"),6000,AND(K47="Không",R47="5 Dan"),8000),0)</f>
        <v>0</v>
      </c>
      <c r="AP47" s="80">
        <f t="array" ref="AP47">IFERROR(IFS(AND(COUNTIF(T47:T48,"X")=1,K47="Có",AB47="Phòng đơn"),1900,AND(COUNTIF(T47:T48,"X")=1,K47="Có",AB47="Phòng đôi"),1550,AND(COUNTIF(T47:T48,"X")=1,K47="Có",AB47="Phòng ba"),1450,AND(COUNTIF(T47:T48,"X")=2,K47="Có",AB47="Phòng đơn"),2200,AND(COUNTIF(T47:T48,"X")=2,K47="Có",AB47="Phòng đôi"),1850,AND(COUNTIF(T47:T48,"X")=2,K47="Có",AB47="Phòng ba"),1750,
AND(COUNTIF(T47:T48,"X")=1,K47="Không",AB47="Phòng đơn"),2400,AND(COUNTIF(T47:T48,"X")=1,K47="Không",AB47="Phòng đôi"),1950,AND(COUNTIF(T47:T48,"X")=1,K47="Không",AB47="Phòng ba"),1850,AND(COUNTIF(T47:T48,"X")=2,K47="Không",AB47="Phòng đơn"),2800,AND(COUNTIF(T47:T48,"X")=2,K47="Không",AB47="Phòng đôi"),2350,AND(COUNTIF(T47:T48,"X")=2,K47="Không",AB47="Phòng ba"),2250),0)</f>
        <v>0</v>
      </c>
      <c r="AQ47" s="80">
        <f>COUNTIF(Y47:AD48,"Phòng đơn")*700
+COUNTIF(Y47:AD48,"Phòng đôi")*350
+COUNTIF(Y47:AD48,"Phòng ba")*250
-IF(AND(COUNTIF(T47:T48,"X")&gt;0,AB47&lt;&gt;""),IF(AB47="Phòng đơn",700,IF(AB47="Phòng đôi",350,IF(AB47="Phòng ba",250,0))),0)</f>
        <v>0</v>
      </c>
      <c r="AR47" s="73">
        <f>COUNTIF(AH47:AM47,"X")*120
+COUNTIF(AH48:AM48,"X")*200
-COUNTIF(T47:T48,"X")*120
-IF(COUNTA(Q47:R48)&gt;0,120,0)</f>
        <v>0</v>
      </c>
      <c r="AS47" s="80">
        <f>IF(COUNTIF(T47:T48,"X")&gt;0,0,IF(AND(AF47="Có",COUNTIF(T47:T48,"X")=0),700,0))</f>
        <v>0</v>
      </c>
      <c r="AT47" s="80">
        <f>SUM(AO47:AS48)</f>
        <v>0</v>
      </c>
      <c r="AU47" s="67"/>
      <c r="AV47" s="68"/>
    </row>
    <row r="48" ht="29.25" customHeight="1">
      <c r="A48" s="57"/>
      <c r="B48" s="57"/>
      <c r="C48" s="57"/>
      <c r="D48" s="57"/>
      <c r="E48" s="57"/>
      <c r="F48" s="57"/>
      <c r="G48" s="57"/>
      <c r="H48" s="57"/>
      <c r="I48" s="57"/>
      <c r="J48" s="57"/>
      <c r="K48" s="57"/>
      <c r="L48" s="57"/>
      <c r="M48" s="57"/>
      <c r="N48" s="57"/>
      <c r="O48" s="57"/>
      <c r="P48" s="57"/>
      <c r="Q48" s="57"/>
      <c r="R48" s="57"/>
      <c r="S48" s="74" t="str">
        <f>IF(C47="Nữ","Đội nữ 5 người",IF(C47="Nam","Đội nam 5 người",""))</f>
        <v/>
      </c>
      <c r="T48" s="77"/>
      <c r="U48" s="77"/>
      <c r="V48" s="77"/>
      <c r="W48" s="57"/>
      <c r="X48" s="57"/>
      <c r="Y48" s="57"/>
      <c r="Z48" s="57"/>
      <c r="AA48" s="57"/>
      <c r="AB48" s="57"/>
      <c r="AC48" s="57"/>
      <c r="AD48" s="57"/>
      <c r="AE48" s="57"/>
      <c r="AF48" s="57"/>
      <c r="AG48" s="77" t="s">
        <v>71</v>
      </c>
      <c r="AH48" s="82"/>
      <c r="AI48" s="82"/>
      <c r="AJ48" s="82"/>
      <c r="AK48" s="69" t="s">
        <v>51</v>
      </c>
      <c r="AL48" s="82"/>
      <c r="AM48" s="82"/>
      <c r="AN48" s="57"/>
      <c r="AO48" s="57"/>
      <c r="AP48" s="57"/>
      <c r="AQ48" s="57"/>
      <c r="AR48" s="57"/>
      <c r="AS48" s="57"/>
      <c r="AT48" s="57"/>
      <c r="AU48" s="67"/>
      <c r="AV48" s="68"/>
    </row>
    <row r="49" ht="29.25" customHeight="1">
      <c r="A49" s="70">
        <f>INT((ROW()-9)/2)+1</f>
        <v>21</v>
      </c>
      <c r="B49" s="70"/>
      <c r="C49" s="70"/>
      <c r="D49" s="70"/>
      <c r="E49" s="70"/>
      <c r="F49" s="70"/>
      <c r="G49" s="73"/>
      <c r="H49" s="73"/>
      <c r="I49" s="73"/>
      <c r="J49" s="73"/>
      <c r="K49" s="73"/>
      <c r="L49" s="73"/>
      <c r="M49" s="70"/>
      <c r="N49" s="73"/>
      <c r="O49" s="73"/>
      <c r="P49" s="70"/>
      <c r="Q49" s="70"/>
      <c r="R49" s="70"/>
      <c r="S49" s="74" t="str">
        <f>IF(C49="Nữ","Đội nữ 3 người",IF(C49="Nam","Đội nam 3 người",""))</f>
        <v/>
      </c>
      <c r="T49" s="77"/>
      <c r="U49" s="77"/>
      <c r="V49" s="77"/>
      <c r="W49" s="70"/>
      <c r="X49" s="70"/>
      <c r="Y49" s="81"/>
      <c r="Z49" s="81"/>
      <c r="AA49" s="81"/>
      <c r="AB49" s="81"/>
      <c r="AC49" s="81"/>
      <c r="AD49" s="81"/>
      <c r="AE49" s="73"/>
      <c r="AF49" s="73"/>
      <c r="AG49" s="77" t="s">
        <v>68</v>
      </c>
      <c r="AH49" s="82"/>
      <c r="AI49" s="82"/>
      <c r="AJ49" s="82"/>
      <c r="AK49" s="82"/>
      <c r="AL49" s="82"/>
      <c r="AM49" s="82"/>
      <c r="AN49" s="70" t="str">
        <f>IF(COUNTIF(T49:T50,"X")&gt;0,"VĐV","Khác")</f>
        <v>Khác</v>
      </c>
      <c r="AO49" s="79">
        <f t="array" ref="AO49">IFERROR(IF(AND(K49="Có",Q49="1 Kyu"),1000,IF(AND(K49="Không",Q49="1 Kyu"),2000,0)),"")+IFERROR(IFS(AND(K49="Có",R49="1 Dan"),1500,AND(K49="Không",R49="1 Dan"),2500,AND(K49="Có",R49="2 Dan"),2200,AND(K49="Không",R49="2 Dan"),4200,AND(K49="Có",R49="3 Dan"),3000,AND(K49="Không",R49="3 Dan"),5000,AND(K49="Có",R49="4 Dan"),4500,AND(K49="Không",R49="4 Dan"),6500,AND(K49="Có",R49="5 Dan"),6000,AND(K49="Không",R49="5 Dan"),8000),0)</f>
        <v>0</v>
      </c>
      <c r="AP49" s="80">
        <f t="array" ref="AP49">IFERROR(IFS(AND(COUNTIF(T49:T50,"X")=1,K49="Có",AB49="Phòng đơn"),1900,AND(COUNTIF(T49:T50,"X")=1,K49="Có",AB49="Phòng đôi"),1550,AND(COUNTIF(T49:T50,"X")=1,K49="Có",AB49="Phòng ba"),1450,AND(COUNTIF(T49:T50,"X")=2,K49="Có",AB49="Phòng đơn"),2200,AND(COUNTIF(T49:T50,"X")=2,K49="Có",AB49="Phòng đôi"),1850,AND(COUNTIF(T49:T50,"X")=2,K49="Có",AB49="Phòng ba"),1750,
AND(COUNTIF(T49:T50,"X")=1,K49="Không",AB49="Phòng đơn"),2400,AND(COUNTIF(T49:T50,"X")=1,K49="Không",AB49="Phòng đôi"),1950,AND(COUNTIF(T49:T50,"X")=1,K49="Không",AB49="Phòng ba"),1850,AND(COUNTIF(T49:T50,"X")=2,K49="Không",AB49="Phòng đơn"),2800,AND(COUNTIF(T49:T50,"X")=2,K49="Không",AB49="Phòng đôi"),2350,AND(COUNTIF(T49:T50,"X")=2,K49="Không",AB49="Phòng ba"),2250),0)</f>
        <v>0</v>
      </c>
      <c r="AQ49" s="80">
        <f>COUNTIF(Y49:AD50,"Phòng đơn")*700
+COUNTIF(Y49:AD50,"Phòng đôi")*350
+COUNTIF(Y49:AD50,"Phòng ba")*250
-IF(AND(COUNTIF(T49:T50,"X")&gt;0,AB49&lt;&gt;""),IF(AB49="Phòng đơn",700,IF(AB49="Phòng đôi",350,IF(AB49="Phòng ba",250,0))),0)</f>
        <v>0</v>
      </c>
      <c r="AR49" s="73">
        <f>COUNTIF(AH49:AM49,"X")*120
+COUNTIF(AH50:AM50,"X")*200
-COUNTIF(T49:T50,"X")*120
-IF(COUNTA(Q49:R50)&gt;0,120,0)</f>
        <v>0</v>
      </c>
      <c r="AS49" s="80">
        <f>IF(COUNTIF(T49:T50,"X")&gt;0,0,IF(AND(AF49="Có",COUNTIF(T49:T50,"X")=0),700,0))</f>
        <v>0</v>
      </c>
      <c r="AT49" s="80">
        <f>SUM(AO49:AS50)</f>
        <v>0</v>
      </c>
      <c r="AU49" s="67"/>
      <c r="AV49" s="68"/>
    </row>
    <row r="50" ht="29.25" customHeight="1">
      <c r="A50" s="57"/>
      <c r="B50" s="57"/>
      <c r="C50" s="57"/>
      <c r="D50" s="57"/>
      <c r="E50" s="57"/>
      <c r="F50" s="57"/>
      <c r="G50" s="57"/>
      <c r="H50" s="57"/>
      <c r="I50" s="57"/>
      <c r="J50" s="57"/>
      <c r="K50" s="57"/>
      <c r="L50" s="57"/>
      <c r="M50" s="57"/>
      <c r="N50" s="57"/>
      <c r="O50" s="57"/>
      <c r="P50" s="57"/>
      <c r="Q50" s="57"/>
      <c r="R50" s="57"/>
      <c r="S50" s="74" t="str">
        <f>IF(C49="Nữ","Đội nữ 5 người",IF(C49="Nam","Đội nam 5 người",""))</f>
        <v/>
      </c>
      <c r="T50" s="77"/>
      <c r="U50" s="77"/>
      <c r="V50" s="77"/>
      <c r="W50" s="57"/>
      <c r="X50" s="57"/>
      <c r="Y50" s="57"/>
      <c r="Z50" s="57"/>
      <c r="AA50" s="57"/>
      <c r="AB50" s="57"/>
      <c r="AC50" s="57"/>
      <c r="AD50" s="57"/>
      <c r="AE50" s="57"/>
      <c r="AF50" s="57"/>
      <c r="AG50" s="77" t="s">
        <v>71</v>
      </c>
      <c r="AH50" s="82"/>
      <c r="AI50" s="82"/>
      <c r="AJ50" s="82"/>
      <c r="AK50" s="69" t="s">
        <v>51</v>
      </c>
      <c r="AL50" s="82"/>
      <c r="AM50" s="82"/>
      <c r="AN50" s="57"/>
      <c r="AO50" s="57"/>
      <c r="AP50" s="57"/>
      <c r="AQ50" s="57"/>
      <c r="AR50" s="57"/>
      <c r="AS50" s="57"/>
      <c r="AT50" s="57"/>
      <c r="AU50" s="67"/>
      <c r="AV50" s="68"/>
    </row>
    <row r="51" ht="29.25" customHeight="1">
      <c r="A51" s="70">
        <f>INT((ROW()-9)/2)+1</f>
        <v>22</v>
      </c>
      <c r="B51" s="70"/>
      <c r="C51" s="70"/>
      <c r="D51" s="70"/>
      <c r="E51" s="70"/>
      <c r="F51" s="70"/>
      <c r="G51" s="73"/>
      <c r="H51" s="73"/>
      <c r="I51" s="73"/>
      <c r="J51" s="73"/>
      <c r="K51" s="73"/>
      <c r="L51" s="73"/>
      <c r="M51" s="70"/>
      <c r="N51" s="73"/>
      <c r="O51" s="73"/>
      <c r="P51" s="70"/>
      <c r="Q51" s="70"/>
      <c r="R51" s="70"/>
      <c r="S51" s="74" t="str">
        <f>IF(C51="Nữ","Đội nữ 3 người",IF(C51="Nam","Đội nam 3 người",""))</f>
        <v/>
      </c>
      <c r="T51" s="77"/>
      <c r="U51" s="77"/>
      <c r="V51" s="77"/>
      <c r="W51" s="70"/>
      <c r="X51" s="70"/>
      <c r="Y51" s="81"/>
      <c r="Z51" s="81"/>
      <c r="AA51" s="81"/>
      <c r="AB51" s="81"/>
      <c r="AC51" s="81"/>
      <c r="AD51" s="81"/>
      <c r="AE51" s="73"/>
      <c r="AF51" s="73"/>
      <c r="AG51" s="77" t="s">
        <v>68</v>
      </c>
      <c r="AH51" s="82"/>
      <c r="AI51" s="82"/>
      <c r="AJ51" s="82"/>
      <c r="AK51" s="82"/>
      <c r="AL51" s="82"/>
      <c r="AM51" s="82"/>
      <c r="AN51" s="70" t="str">
        <f>IF(COUNTIF(T51:T52,"X")&gt;0,"VĐV","Khác")</f>
        <v>Khác</v>
      </c>
      <c r="AO51" s="79">
        <f t="array" ref="AO51">IFERROR(IF(AND(K51="Có",Q51="1 Kyu"),1000,IF(AND(K51="Không",Q51="1 Kyu"),2000,0)),"")+IFERROR(IFS(AND(K51="Có",R51="1 Dan"),1500,AND(K51="Không",R51="1 Dan"),2500,AND(K51="Có",R51="2 Dan"),2200,AND(K51="Không",R51="2 Dan"),4200,AND(K51="Có",R51="3 Dan"),3000,AND(K51="Không",R51="3 Dan"),5000,AND(K51="Có",R51="4 Dan"),4500,AND(K51="Không",R51="4 Dan"),6500,AND(K51="Có",R51="5 Dan"),6000,AND(K51="Không",R51="5 Dan"),8000),0)</f>
        <v>0</v>
      </c>
      <c r="AP51" s="80">
        <f t="array" ref="AP51">IFERROR(IFS(AND(COUNTIF(T51:T52,"X")=1,K51="Có",AB51="Phòng đơn"),1900,AND(COUNTIF(T51:T52,"X")=1,K51="Có",AB51="Phòng đôi"),1550,AND(COUNTIF(T51:T52,"X")=1,K51="Có",AB51="Phòng ba"),1450,AND(COUNTIF(T51:T52,"X")=2,K51="Có",AB51="Phòng đơn"),2200,AND(COUNTIF(T51:T52,"X")=2,K51="Có",AB51="Phòng đôi"),1850,AND(COUNTIF(T51:T52,"X")=2,K51="Có",AB51="Phòng ba"),1750,
AND(COUNTIF(T51:T52,"X")=1,K51="Không",AB51="Phòng đơn"),2400,AND(COUNTIF(T51:T52,"X")=1,K51="Không",AB51="Phòng đôi"),1950,AND(COUNTIF(T51:T52,"X")=1,K51="Không",AB51="Phòng ba"),1850,AND(COUNTIF(T51:T52,"X")=2,K51="Không",AB51="Phòng đơn"),2800,AND(COUNTIF(T51:T52,"X")=2,K51="Không",AB51="Phòng đôi"),2350,AND(COUNTIF(T51:T52,"X")=2,K51="Không",AB51="Phòng ba"),2250),0)</f>
        <v>0</v>
      </c>
      <c r="AQ51" s="80">
        <f>COUNTIF(Y51:AD52,"Phòng đơn")*700
+COUNTIF(Y51:AD52,"Phòng đôi")*350
+COUNTIF(Y51:AD52,"Phòng ba")*250
-IF(AND(COUNTIF(T51:T52,"X")&gt;0,AB51&lt;&gt;""),IF(AB51="Phòng đơn",700,IF(AB51="Phòng đôi",350,IF(AB51="Phòng ba",250,0))),0)</f>
        <v>0</v>
      </c>
      <c r="AR51" s="73">
        <f>COUNTIF(AH51:AM51,"X")*120
+COUNTIF(AH52:AM52,"X")*200
-COUNTIF(T51:T52,"X")*120
-IF(COUNTA(Q51:R52)&gt;0,120,0)</f>
        <v>0</v>
      </c>
      <c r="AS51" s="80">
        <f>IF(COUNTIF(T51:T52,"X")&gt;0,0,IF(AND(AF51="Có",COUNTIF(T51:T52,"X")=0),700,0))</f>
        <v>0</v>
      </c>
      <c r="AT51" s="80">
        <f>SUM(AO51:AS52)</f>
        <v>0</v>
      </c>
      <c r="AU51" s="67"/>
      <c r="AV51" s="68"/>
    </row>
    <row r="52" ht="29.25" customHeight="1">
      <c r="A52" s="57"/>
      <c r="B52" s="57"/>
      <c r="C52" s="57"/>
      <c r="D52" s="57"/>
      <c r="E52" s="57"/>
      <c r="F52" s="57"/>
      <c r="G52" s="57"/>
      <c r="H52" s="57"/>
      <c r="I52" s="57"/>
      <c r="J52" s="57"/>
      <c r="K52" s="57"/>
      <c r="L52" s="57"/>
      <c r="M52" s="57"/>
      <c r="N52" s="57"/>
      <c r="O52" s="57"/>
      <c r="P52" s="57"/>
      <c r="Q52" s="57"/>
      <c r="R52" s="57"/>
      <c r="S52" s="74" t="str">
        <f>IF(C51="Nữ","Đội nữ 5 người",IF(C51="Nam","Đội nam 5 người",""))</f>
        <v/>
      </c>
      <c r="T52" s="77"/>
      <c r="U52" s="77"/>
      <c r="V52" s="77"/>
      <c r="W52" s="57"/>
      <c r="X52" s="57"/>
      <c r="Y52" s="57"/>
      <c r="Z52" s="57"/>
      <c r="AA52" s="57"/>
      <c r="AB52" s="57"/>
      <c r="AC52" s="57"/>
      <c r="AD52" s="57"/>
      <c r="AE52" s="57"/>
      <c r="AF52" s="57"/>
      <c r="AG52" s="77" t="s">
        <v>71</v>
      </c>
      <c r="AH52" s="82"/>
      <c r="AI52" s="82"/>
      <c r="AJ52" s="82"/>
      <c r="AK52" s="69" t="s">
        <v>51</v>
      </c>
      <c r="AL52" s="82"/>
      <c r="AM52" s="82"/>
      <c r="AN52" s="57"/>
      <c r="AO52" s="57"/>
      <c r="AP52" s="57"/>
      <c r="AQ52" s="57"/>
      <c r="AR52" s="57"/>
      <c r="AS52" s="57"/>
      <c r="AT52" s="57"/>
      <c r="AU52" s="67"/>
      <c r="AV52" s="68"/>
    </row>
    <row r="53" ht="29.25" customHeight="1">
      <c r="A53" s="70">
        <f>INT((ROW()-9)/2)+1</f>
        <v>23</v>
      </c>
      <c r="B53" s="70"/>
      <c r="C53" s="70"/>
      <c r="D53" s="70"/>
      <c r="E53" s="70"/>
      <c r="F53" s="70"/>
      <c r="G53" s="73"/>
      <c r="H53" s="73"/>
      <c r="I53" s="73"/>
      <c r="J53" s="73"/>
      <c r="K53" s="73"/>
      <c r="L53" s="73"/>
      <c r="M53" s="70"/>
      <c r="N53" s="73"/>
      <c r="O53" s="73"/>
      <c r="P53" s="70"/>
      <c r="Q53" s="70"/>
      <c r="R53" s="70"/>
      <c r="S53" s="74" t="str">
        <f>IF(C53="Nữ","Đội nữ 3 người",IF(C53="Nam","Đội nam 3 người",""))</f>
        <v/>
      </c>
      <c r="T53" s="77"/>
      <c r="U53" s="77"/>
      <c r="V53" s="77"/>
      <c r="W53" s="70"/>
      <c r="X53" s="70"/>
      <c r="Y53" s="81"/>
      <c r="Z53" s="81"/>
      <c r="AA53" s="81"/>
      <c r="AB53" s="81"/>
      <c r="AC53" s="81"/>
      <c r="AD53" s="81"/>
      <c r="AE53" s="73"/>
      <c r="AF53" s="73"/>
      <c r="AG53" s="77" t="s">
        <v>68</v>
      </c>
      <c r="AH53" s="82"/>
      <c r="AI53" s="82"/>
      <c r="AJ53" s="82"/>
      <c r="AK53" s="82"/>
      <c r="AL53" s="82"/>
      <c r="AM53" s="82"/>
      <c r="AN53" s="70" t="str">
        <f>IF(COUNTIF(T53:T54,"X")&gt;0,"VĐV","Khác")</f>
        <v>Khác</v>
      </c>
      <c r="AO53" s="79">
        <f t="array" ref="AO53">IFERROR(IF(AND(K53="Có",Q53="1 Kyu"),1000,IF(AND(K53="Không",Q53="1 Kyu"),2000,0)),"")+IFERROR(IFS(AND(K53="Có",R53="1 Dan"),1500,AND(K53="Không",R53="1 Dan"),2500,AND(K53="Có",R53="2 Dan"),2200,AND(K53="Không",R53="2 Dan"),4200,AND(K53="Có",R53="3 Dan"),3000,AND(K53="Không",R53="3 Dan"),5000,AND(K53="Có",R53="4 Dan"),4500,AND(K53="Không",R53="4 Dan"),6500,AND(K53="Có",R53="5 Dan"),6000,AND(K53="Không",R53="5 Dan"),8000),0)</f>
        <v>0</v>
      </c>
      <c r="AP53" s="80">
        <f t="array" ref="AP53">IFERROR(IFS(AND(COUNTIF(T53:T54,"X")=1,K53="Có",AB53="Phòng đơn"),1900,AND(COUNTIF(T53:T54,"X")=1,K53="Có",AB53="Phòng đôi"),1550,AND(COUNTIF(T53:T54,"X")=1,K53="Có",AB53="Phòng ba"),1450,AND(COUNTIF(T53:T54,"X")=2,K53="Có",AB53="Phòng đơn"),2200,AND(COUNTIF(T53:T54,"X")=2,K53="Có",AB53="Phòng đôi"),1850,AND(COUNTIF(T53:T54,"X")=2,K53="Có",AB53="Phòng ba"),1750,
AND(COUNTIF(T53:T54,"X")=1,K53="Không",AB53="Phòng đơn"),2400,AND(COUNTIF(T53:T54,"X")=1,K53="Không",AB53="Phòng đôi"),1950,AND(COUNTIF(T53:T54,"X")=1,K53="Không",AB53="Phòng ba"),1850,AND(COUNTIF(T53:T54,"X")=2,K53="Không",AB53="Phòng đơn"),2800,AND(COUNTIF(T53:T54,"X")=2,K53="Không",AB53="Phòng đôi"),2350,AND(COUNTIF(T53:T54,"X")=2,K53="Không",AB53="Phòng ba"),2250),0)</f>
        <v>0</v>
      </c>
      <c r="AQ53" s="80">
        <f>COUNTIF(Y53:AD54,"Phòng đơn")*700
+COUNTIF(Y53:AD54,"Phòng đôi")*350
+COUNTIF(Y53:AD54,"Phòng ba")*250
-IF(AND(COUNTIF(T53:T54,"X")&gt;0,AB53&lt;&gt;""),IF(AB53="Phòng đơn",700,IF(AB53="Phòng đôi",350,IF(AB53="Phòng ba",250,0))),0)</f>
        <v>0</v>
      </c>
      <c r="AR53" s="73">
        <f>COUNTIF(AH53:AM53,"X")*120
+COUNTIF(AH54:AM54,"X")*200
-COUNTIF(T53:T54,"X")*120
-IF(COUNTA(Q53:R54)&gt;0,120,0)</f>
        <v>0</v>
      </c>
      <c r="AS53" s="80">
        <f>IF(COUNTIF(T53:T54,"X")&gt;0,0,IF(AND(AF53="Có",COUNTIF(T53:T54,"X")=0),700,0))</f>
        <v>0</v>
      </c>
      <c r="AT53" s="80">
        <f>SUM(AO53:AS54)</f>
        <v>0</v>
      </c>
      <c r="AU53" s="67"/>
      <c r="AV53" s="68"/>
    </row>
    <row r="54" ht="29.25" customHeight="1">
      <c r="A54" s="57"/>
      <c r="B54" s="57"/>
      <c r="C54" s="57"/>
      <c r="D54" s="57"/>
      <c r="E54" s="57"/>
      <c r="F54" s="57"/>
      <c r="G54" s="57"/>
      <c r="H54" s="57"/>
      <c r="I54" s="57"/>
      <c r="J54" s="57"/>
      <c r="K54" s="57"/>
      <c r="L54" s="57"/>
      <c r="M54" s="57"/>
      <c r="N54" s="57"/>
      <c r="O54" s="57"/>
      <c r="P54" s="57"/>
      <c r="Q54" s="57"/>
      <c r="R54" s="57"/>
      <c r="S54" s="74" t="str">
        <f>IF(C53="Nữ","Đội nữ 5 người",IF(C53="Nam","Đội nam 5 người",""))</f>
        <v/>
      </c>
      <c r="T54" s="77"/>
      <c r="U54" s="77"/>
      <c r="V54" s="77"/>
      <c r="W54" s="57"/>
      <c r="X54" s="57"/>
      <c r="Y54" s="57"/>
      <c r="Z54" s="57"/>
      <c r="AA54" s="57"/>
      <c r="AB54" s="57"/>
      <c r="AC54" s="57"/>
      <c r="AD54" s="57"/>
      <c r="AE54" s="57"/>
      <c r="AF54" s="57"/>
      <c r="AG54" s="77" t="s">
        <v>71</v>
      </c>
      <c r="AH54" s="82"/>
      <c r="AI54" s="82"/>
      <c r="AJ54" s="82"/>
      <c r="AK54" s="69" t="s">
        <v>51</v>
      </c>
      <c r="AL54" s="82"/>
      <c r="AM54" s="82"/>
      <c r="AN54" s="57"/>
      <c r="AO54" s="57"/>
      <c r="AP54" s="57"/>
      <c r="AQ54" s="57"/>
      <c r="AR54" s="57"/>
      <c r="AS54" s="57"/>
      <c r="AT54" s="57"/>
      <c r="AU54" s="67"/>
      <c r="AV54" s="68"/>
    </row>
    <row r="55" ht="29.25" customHeight="1">
      <c r="A55" s="70">
        <f>INT((ROW()-9)/2)+1</f>
        <v>24</v>
      </c>
      <c r="B55" s="70"/>
      <c r="C55" s="70"/>
      <c r="D55" s="70"/>
      <c r="E55" s="70"/>
      <c r="F55" s="70"/>
      <c r="G55" s="73"/>
      <c r="H55" s="73"/>
      <c r="I55" s="73"/>
      <c r="J55" s="73"/>
      <c r="K55" s="73"/>
      <c r="L55" s="73"/>
      <c r="M55" s="70"/>
      <c r="N55" s="73"/>
      <c r="O55" s="73"/>
      <c r="P55" s="70"/>
      <c r="Q55" s="70"/>
      <c r="R55" s="70"/>
      <c r="S55" s="74" t="str">
        <f>IF(C55="Nữ","Đội nữ 3 người",IF(C55="Nam","Đội nam 3 người",""))</f>
        <v/>
      </c>
      <c r="T55" s="77"/>
      <c r="U55" s="77"/>
      <c r="V55" s="77"/>
      <c r="W55" s="70"/>
      <c r="X55" s="70"/>
      <c r="Y55" s="81"/>
      <c r="Z55" s="81"/>
      <c r="AA55" s="81"/>
      <c r="AB55" s="81"/>
      <c r="AC55" s="81"/>
      <c r="AD55" s="81"/>
      <c r="AE55" s="73"/>
      <c r="AF55" s="73"/>
      <c r="AG55" s="77" t="s">
        <v>68</v>
      </c>
      <c r="AH55" s="82"/>
      <c r="AI55" s="82"/>
      <c r="AJ55" s="82"/>
      <c r="AK55" s="82"/>
      <c r="AL55" s="82"/>
      <c r="AM55" s="82"/>
      <c r="AN55" s="70" t="str">
        <f>IF(COUNTIF(T55:T56,"X")&gt;0,"VĐV","Khác")</f>
        <v>Khác</v>
      </c>
      <c r="AO55" s="79">
        <f t="array" ref="AO55">IFERROR(IF(AND(K55="Có",Q55="1 Kyu"),1000,IF(AND(K55="Không",Q55="1 Kyu"),2000,0)),"")+IFERROR(IFS(AND(K55="Có",R55="1 Dan"),1500,AND(K55="Không",R55="1 Dan"),2500,AND(K55="Có",R55="2 Dan"),2200,AND(K55="Không",R55="2 Dan"),4200,AND(K55="Có",R55="3 Dan"),3000,AND(K55="Không",R55="3 Dan"),5000,AND(K55="Có",R55="4 Dan"),4500,AND(K55="Không",R55="4 Dan"),6500,AND(K55="Có",R55="5 Dan"),6000,AND(K55="Không",R55="5 Dan"),8000),0)</f>
        <v>0</v>
      </c>
      <c r="AP55" s="80">
        <f t="array" ref="AP55">IFERROR(IFS(AND(COUNTIF(T55:T56,"X")=1,K55="Có",AB55="Phòng đơn"),1900,AND(COUNTIF(T55:T56,"X")=1,K55="Có",AB55="Phòng đôi"),1550,AND(COUNTIF(T55:T56,"X")=1,K55="Có",AB55="Phòng ba"),1450,AND(COUNTIF(T55:T56,"X")=2,K55="Có",AB55="Phòng đơn"),2200,AND(COUNTIF(T55:T56,"X")=2,K55="Có",AB55="Phòng đôi"),1850,AND(COUNTIF(T55:T56,"X")=2,K55="Có",AB55="Phòng ba"),1750,
AND(COUNTIF(T55:T56,"X")=1,K55="Không",AB55="Phòng đơn"),2400,AND(COUNTIF(T55:T56,"X")=1,K55="Không",AB55="Phòng đôi"),1950,AND(COUNTIF(T55:T56,"X")=1,K55="Không",AB55="Phòng ba"),1850,AND(COUNTIF(T55:T56,"X")=2,K55="Không",AB55="Phòng đơn"),2800,AND(COUNTIF(T55:T56,"X")=2,K55="Không",AB55="Phòng đôi"),2350,AND(COUNTIF(T55:T56,"X")=2,K55="Không",AB55="Phòng ba"),2250),0)</f>
        <v>0</v>
      </c>
      <c r="AQ55" s="80">
        <f>COUNTIF(Y55:AD56,"Phòng đơn")*700
+COUNTIF(Y55:AD56,"Phòng đôi")*350
+COUNTIF(Y55:AD56,"Phòng ba")*250
-IF(AND(COUNTIF(T55:T56,"X")&gt;0,AB55&lt;&gt;""),IF(AB55="Phòng đơn",700,IF(AB55="Phòng đôi",350,IF(AB55="Phòng ba",250,0))),0)</f>
        <v>0</v>
      </c>
      <c r="AR55" s="73">
        <f>COUNTIF(AH55:AM55,"X")*120
+COUNTIF(AH56:AM56,"X")*200
-COUNTIF(T55:T56,"X")*120
-IF(COUNTA(Q55:R56)&gt;0,120,0)</f>
        <v>0</v>
      </c>
      <c r="AS55" s="80">
        <f>IF(COUNTIF(T55:T56,"X")&gt;0,0,IF(AND(AF55="Có",COUNTIF(T55:T56,"X")=0),700,0))</f>
        <v>0</v>
      </c>
      <c r="AT55" s="80">
        <f>SUM(AO55:AS56)</f>
        <v>0</v>
      </c>
      <c r="AU55" s="67"/>
      <c r="AV55" s="68"/>
    </row>
    <row r="56" ht="29.25" customHeight="1">
      <c r="A56" s="57"/>
      <c r="B56" s="57"/>
      <c r="C56" s="57"/>
      <c r="D56" s="57"/>
      <c r="E56" s="57"/>
      <c r="F56" s="57"/>
      <c r="G56" s="57"/>
      <c r="H56" s="57"/>
      <c r="I56" s="57"/>
      <c r="J56" s="57"/>
      <c r="K56" s="57"/>
      <c r="L56" s="57"/>
      <c r="M56" s="57"/>
      <c r="N56" s="57"/>
      <c r="O56" s="57"/>
      <c r="P56" s="57"/>
      <c r="Q56" s="57"/>
      <c r="R56" s="57"/>
      <c r="S56" s="74" t="str">
        <f>IF(C55="Nữ","Đội nữ 5 người",IF(C55="Nam","Đội nam 5 người",""))</f>
        <v/>
      </c>
      <c r="T56" s="77"/>
      <c r="U56" s="77"/>
      <c r="V56" s="77"/>
      <c r="W56" s="57"/>
      <c r="X56" s="57"/>
      <c r="Y56" s="57"/>
      <c r="Z56" s="57"/>
      <c r="AA56" s="57"/>
      <c r="AB56" s="57"/>
      <c r="AC56" s="57"/>
      <c r="AD56" s="57"/>
      <c r="AE56" s="57"/>
      <c r="AF56" s="57"/>
      <c r="AG56" s="77" t="s">
        <v>71</v>
      </c>
      <c r="AH56" s="82"/>
      <c r="AI56" s="82"/>
      <c r="AJ56" s="82"/>
      <c r="AK56" s="69" t="s">
        <v>51</v>
      </c>
      <c r="AL56" s="82"/>
      <c r="AM56" s="82"/>
      <c r="AN56" s="57"/>
      <c r="AO56" s="57"/>
      <c r="AP56" s="57"/>
      <c r="AQ56" s="57"/>
      <c r="AR56" s="57"/>
      <c r="AS56" s="57"/>
      <c r="AT56" s="57"/>
      <c r="AU56" s="67"/>
      <c r="AV56" s="68"/>
    </row>
    <row r="57" ht="29.25" customHeight="1">
      <c r="A57" s="70">
        <f>INT((ROW()-9)/2)+1</f>
        <v>25</v>
      </c>
      <c r="B57" s="70"/>
      <c r="C57" s="70"/>
      <c r="D57" s="70"/>
      <c r="E57" s="70"/>
      <c r="F57" s="70"/>
      <c r="G57" s="73"/>
      <c r="H57" s="73"/>
      <c r="I57" s="73"/>
      <c r="J57" s="73"/>
      <c r="K57" s="73"/>
      <c r="L57" s="73"/>
      <c r="M57" s="70"/>
      <c r="N57" s="73"/>
      <c r="O57" s="73"/>
      <c r="P57" s="70"/>
      <c r="Q57" s="70"/>
      <c r="R57" s="70"/>
      <c r="S57" s="74" t="str">
        <f>IF(C57="Nữ","Đội nữ 3 người",IF(C57="Nam","Đội nam 3 người",""))</f>
        <v/>
      </c>
      <c r="T57" s="77"/>
      <c r="U57" s="77"/>
      <c r="V57" s="77"/>
      <c r="W57" s="70"/>
      <c r="X57" s="70"/>
      <c r="Y57" s="81"/>
      <c r="Z57" s="81"/>
      <c r="AA57" s="81"/>
      <c r="AB57" s="81"/>
      <c r="AC57" s="81"/>
      <c r="AD57" s="81"/>
      <c r="AE57" s="73"/>
      <c r="AF57" s="73"/>
      <c r="AG57" s="77" t="s">
        <v>68</v>
      </c>
      <c r="AH57" s="82"/>
      <c r="AI57" s="82"/>
      <c r="AJ57" s="82"/>
      <c r="AK57" s="82"/>
      <c r="AL57" s="82"/>
      <c r="AM57" s="82"/>
      <c r="AN57" s="70" t="str">
        <f>IF(COUNTIF(T57:T58,"X")&gt;0,"VĐV","Khác")</f>
        <v>Khác</v>
      </c>
      <c r="AO57" s="79">
        <f t="array" ref="AO57">IFERROR(IF(AND(K57="Có",Q57="1 Kyu"),1000,IF(AND(K57="Không",Q57="1 Kyu"),2000,0)),"")+IFERROR(IFS(AND(K57="Có",R57="1 Dan"),1500,AND(K57="Không",R57="1 Dan"),2500,AND(K57="Có",R57="2 Dan"),2200,AND(K57="Không",R57="2 Dan"),4200,AND(K57="Có",R57="3 Dan"),3000,AND(K57="Không",R57="3 Dan"),5000,AND(K57="Có",R57="4 Dan"),4500,AND(K57="Không",R57="4 Dan"),6500,AND(K57="Có",R57="5 Dan"),6000,AND(K57="Không",R57="5 Dan"),8000),0)</f>
        <v>0</v>
      </c>
      <c r="AP57" s="80">
        <f t="array" ref="AP57">IFERROR(IFS(AND(COUNTIF(T57:T58,"X")=1,K57="Có",AB57="Phòng đơn"),1900,AND(COUNTIF(T57:T58,"X")=1,K57="Có",AB57="Phòng đôi"),1550,AND(COUNTIF(T57:T58,"X")=1,K57="Có",AB57="Phòng ba"),1450,AND(COUNTIF(T57:T58,"X")=2,K57="Có",AB57="Phòng đơn"),2200,AND(COUNTIF(T57:T58,"X")=2,K57="Có",AB57="Phòng đôi"),1850,AND(COUNTIF(T57:T58,"X")=2,K57="Có",AB57="Phòng ba"),1750,
AND(COUNTIF(T57:T58,"X")=1,K57="Không",AB57="Phòng đơn"),2400,AND(COUNTIF(T57:T58,"X")=1,K57="Không",AB57="Phòng đôi"),1950,AND(COUNTIF(T57:T58,"X")=1,K57="Không",AB57="Phòng ba"),1850,AND(COUNTIF(T57:T58,"X")=2,K57="Không",AB57="Phòng đơn"),2800,AND(COUNTIF(T57:T58,"X")=2,K57="Không",AB57="Phòng đôi"),2350,AND(COUNTIF(T57:T58,"X")=2,K57="Không",AB57="Phòng ba"),2250),0)</f>
        <v>0</v>
      </c>
      <c r="AQ57" s="80">
        <f>COUNTIF(Y57:AD58,"Phòng đơn")*700
+COUNTIF(Y57:AD58,"Phòng đôi")*350
+COUNTIF(Y57:AD58,"Phòng ba")*250
-IF(AND(COUNTIF(T57:T58,"X")&gt;0,AB57&lt;&gt;""),IF(AB57="Phòng đơn",700,IF(AB57="Phòng đôi",350,IF(AB57="Phòng ba",250,0))),0)</f>
        <v>0</v>
      </c>
      <c r="AR57" s="73">
        <f>COUNTIF(AH57:AM57,"X")*120
+COUNTIF(AH58:AM58,"X")*200
-COUNTIF(T57:T58,"X")*120
-IF(COUNTA(Q57:R58)&gt;0,120,0)</f>
        <v>0</v>
      </c>
      <c r="AS57" s="80">
        <f>IF(COUNTIF(T57:T58,"X")&gt;0,0,IF(AND(AF57="Có",COUNTIF(T57:T58,"X")=0),700,0))</f>
        <v>0</v>
      </c>
      <c r="AT57" s="80">
        <f>SUM(AO57:AS58)</f>
        <v>0</v>
      </c>
      <c r="AU57" s="67"/>
      <c r="AV57" s="68"/>
    </row>
    <row r="58" ht="29.25" customHeight="1">
      <c r="A58" s="57"/>
      <c r="B58" s="57"/>
      <c r="C58" s="57"/>
      <c r="D58" s="57"/>
      <c r="E58" s="57"/>
      <c r="F58" s="57"/>
      <c r="G58" s="57"/>
      <c r="H58" s="57"/>
      <c r="I58" s="57"/>
      <c r="J58" s="57"/>
      <c r="K58" s="57"/>
      <c r="L58" s="57"/>
      <c r="M58" s="57"/>
      <c r="N58" s="57"/>
      <c r="O58" s="57"/>
      <c r="P58" s="57"/>
      <c r="Q58" s="57"/>
      <c r="R58" s="57"/>
      <c r="S58" s="74" t="str">
        <f>IF(C57="Nữ","Đội nữ 5 người",IF(C57="Nam","Đội nam 5 người",""))</f>
        <v/>
      </c>
      <c r="T58" s="77"/>
      <c r="U58" s="77"/>
      <c r="V58" s="77"/>
      <c r="W58" s="57"/>
      <c r="X58" s="57"/>
      <c r="Y58" s="57"/>
      <c r="Z58" s="57"/>
      <c r="AA58" s="57"/>
      <c r="AB58" s="57"/>
      <c r="AC58" s="57"/>
      <c r="AD58" s="57"/>
      <c r="AE58" s="57"/>
      <c r="AF58" s="57"/>
      <c r="AG58" s="77" t="s">
        <v>71</v>
      </c>
      <c r="AH58" s="82"/>
      <c r="AI58" s="82"/>
      <c r="AJ58" s="82"/>
      <c r="AK58" s="69" t="s">
        <v>51</v>
      </c>
      <c r="AL58" s="82"/>
      <c r="AM58" s="82"/>
      <c r="AN58" s="57"/>
      <c r="AO58" s="57"/>
      <c r="AP58" s="57"/>
      <c r="AQ58" s="57"/>
      <c r="AR58" s="57"/>
      <c r="AS58" s="57"/>
      <c r="AT58" s="57"/>
      <c r="AU58" s="67"/>
      <c r="AV58" s="68"/>
    </row>
    <row r="59" ht="29.25" customHeight="1">
      <c r="A59" s="70">
        <f>INT((ROW()-9)/2)+1</f>
        <v>26</v>
      </c>
      <c r="B59" s="70"/>
      <c r="C59" s="70"/>
      <c r="D59" s="70"/>
      <c r="E59" s="70"/>
      <c r="F59" s="70"/>
      <c r="G59" s="73"/>
      <c r="H59" s="73"/>
      <c r="I59" s="73"/>
      <c r="J59" s="73"/>
      <c r="K59" s="73"/>
      <c r="L59" s="73"/>
      <c r="M59" s="70"/>
      <c r="N59" s="73"/>
      <c r="O59" s="73"/>
      <c r="P59" s="70"/>
      <c r="Q59" s="70"/>
      <c r="R59" s="70"/>
      <c r="S59" s="74" t="str">
        <f>IF(C59="Nữ","Đội nữ 3 người",IF(C59="Nam","Đội nam 3 người",""))</f>
        <v/>
      </c>
      <c r="T59" s="77"/>
      <c r="U59" s="77"/>
      <c r="V59" s="77"/>
      <c r="W59" s="70"/>
      <c r="X59" s="70"/>
      <c r="Y59" s="81"/>
      <c r="Z59" s="81"/>
      <c r="AA59" s="81"/>
      <c r="AB59" s="81"/>
      <c r="AC59" s="81"/>
      <c r="AD59" s="81"/>
      <c r="AE59" s="73"/>
      <c r="AF59" s="73"/>
      <c r="AG59" s="77" t="s">
        <v>68</v>
      </c>
      <c r="AH59" s="82"/>
      <c r="AI59" s="82"/>
      <c r="AJ59" s="82"/>
      <c r="AK59" s="82"/>
      <c r="AL59" s="82"/>
      <c r="AM59" s="82"/>
      <c r="AN59" s="70" t="str">
        <f>IF(COUNTIF(T59:T60,"X")&gt;0,"VĐV","Khác")</f>
        <v>Khác</v>
      </c>
      <c r="AO59" s="79">
        <f t="array" ref="AO59">IFERROR(IF(AND(K59="Có",Q59="1 Kyu"),1000,IF(AND(K59="Không",Q59="1 Kyu"),2000,0)),"")+IFERROR(IFS(AND(K59="Có",R59="1 Dan"),1500,AND(K59="Không",R59="1 Dan"),2500,AND(K59="Có",R59="2 Dan"),2200,AND(K59="Không",R59="2 Dan"),4200,AND(K59="Có",R59="3 Dan"),3000,AND(K59="Không",R59="3 Dan"),5000,AND(K59="Có",R59="4 Dan"),4500,AND(K59="Không",R59="4 Dan"),6500,AND(K59="Có",R59="5 Dan"),6000,AND(K59="Không",R59="5 Dan"),8000),0)</f>
        <v>0</v>
      </c>
      <c r="AP59" s="80">
        <f t="array" ref="AP59">IFERROR(IFS(AND(COUNTIF(T59:T60,"X")=1,K59="Có",AB59="Phòng đơn"),1900,AND(COUNTIF(T59:T60,"X")=1,K59="Có",AB59="Phòng đôi"),1550,AND(COUNTIF(T59:T60,"X")=1,K59="Có",AB59="Phòng ba"),1450,AND(COUNTIF(T59:T60,"X")=2,K59="Có",AB59="Phòng đơn"),2200,AND(COUNTIF(T59:T60,"X")=2,K59="Có",AB59="Phòng đôi"),1850,AND(COUNTIF(T59:T60,"X")=2,K59="Có",AB59="Phòng ba"),1750,
AND(COUNTIF(T59:T60,"X")=1,K59="Không",AB59="Phòng đơn"),2400,AND(COUNTIF(T59:T60,"X")=1,K59="Không",AB59="Phòng đôi"),1950,AND(COUNTIF(T59:T60,"X")=1,K59="Không",AB59="Phòng ba"),1850,AND(COUNTIF(T59:T60,"X")=2,K59="Không",AB59="Phòng đơn"),2800,AND(COUNTIF(T59:T60,"X")=2,K59="Không",AB59="Phòng đôi"),2350,AND(COUNTIF(T59:T60,"X")=2,K59="Không",AB59="Phòng ba"),2250),0)</f>
        <v>0</v>
      </c>
      <c r="AQ59" s="80">
        <f>COUNTIF(Y59:AD60,"Phòng đơn")*700
+COUNTIF(Y59:AD60,"Phòng đôi")*350
+COUNTIF(Y59:AD60,"Phòng ba")*250
-IF(AND(COUNTIF(T59:T60,"X")&gt;0,AB59&lt;&gt;""),IF(AB59="Phòng đơn",700,IF(AB59="Phòng đôi",350,IF(AB59="Phòng ba",250,0))),0)</f>
        <v>0</v>
      </c>
      <c r="AR59" s="73">
        <f>COUNTIF(AH59:AM59,"X")*120
+COUNTIF(AH60:AM60,"X")*200
-COUNTIF(T59:T60,"X")*120
-IF(COUNTA(Q59:R60)&gt;0,120,0)</f>
        <v>0</v>
      </c>
      <c r="AS59" s="80">
        <f>IF(COUNTIF(T59:T60,"X")&gt;0,0,IF(AND(AF59="Có",COUNTIF(T59:T60,"X")=0),700,0))</f>
        <v>0</v>
      </c>
      <c r="AT59" s="80">
        <f>SUM(AO59:AS60)</f>
        <v>0</v>
      </c>
      <c r="AU59" s="67"/>
      <c r="AV59" s="68"/>
    </row>
    <row r="60" ht="29.25" customHeight="1">
      <c r="A60" s="57"/>
      <c r="B60" s="57"/>
      <c r="C60" s="57"/>
      <c r="D60" s="57"/>
      <c r="E60" s="57"/>
      <c r="F60" s="57"/>
      <c r="G60" s="57"/>
      <c r="H60" s="57"/>
      <c r="I60" s="57"/>
      <c r="J60" s="57"/>
      <c r="K60" s="57"/>
      <c r="L60" s="57"/>
      <c r="M60" s="57"/>
      <c r="N60" s="57"/>
      <c r="O60" s="57"/>
      <c r="P60" s="57"/>
      <c r="Q60" s="57"/>
      <c r="R60" s="57"/>
      <c r="S60" s="74" t="str">
        <f>IF(C59="Nữ","Đội nữ 5 người",IF(C59="Nam","Đội nam 5 người",""))</f>
        <v/>
      </c>
      <c r="T60" s="77"/>
      <c r="U60" s="77"/>
      <c r="V60" s="77"/>
      <c r="W60" s="57"/>
      <c r="X60" s="57"/>
      <c r="Y60" s="57"/>
      <c r="Z60" s="57"/>
      <c r="AA60" s="57"/>
      <c r="AB60" s="57"/>
      <c r="AC60" s="57"/>
      <c r="AD60" s="57"/>
      <c r="AE60" s="57"/>
      <c r="AF60" s="57"/>
      <c r="AG60" s="77" t="s">
        <v>71</v>
      </c>
      <c r="AH60" s="82"/>
      <c r="AI60" s="82"/>
      <c r="AJ60" s="82"/>
      <c r="AK60" s="69" t="s">
        <v>51</v>
      </c>
      <c r="AL60" s="82"/>
      <c r="AM60" s="82"/>
      <c r="AN60" s="57"/>
      <c r="AO60" s="57"/>
      <c r="AP60" s="57"/>
      <c r="AQ60" s="57"/>
      <c r="AR60" s="57"/>
      <c r="AS60" s="57"/>
      <c r="AT60" s="57"/>
      <c r="AU60" s="67"/>
      <c r="AV60" s="68"/>
    </row>
    <row r="61" ht="29.25" customHeight="1">
      <c r="A61" s="70">
        <f>INT((ROW()-9)/2)+1</f>
        <v>27</v>
      </c>
      <c r="B61" s="70"/>
      <c r="C61" s="70"/>
      <c r="D61" s="70"/>
      <c r="E61" s="70"/>
      <c r="F61" s="70"/>
      <c r="G61" s="73"/>
      <c r="H61" s="73"/>
      <c r="I61" s="73"/>
      <c r="J61" s="73"/>
      <c r="K61" s="73"/>
      <c r="L61" s="73"/>
      <c r="M61" s="70"/>
      <c r="N61" s="73"/>
      <c r="O61" s="73"/>
      <c r="P61" s="70"/>
      <c r="Q61" s="70"/>
      <c r="R61" s="70"/>
      <c r="S61" s="74" t="str">
        <f>IF(C61="Nữ","Đội nữ 3 người",IF(C61="Nam","Đội nam 3 người",""))</f>
        <v/>
      </c>
      <c r="T61" s="77"/>
      <c r="U61" s="77"/>
      <c r="V61" s="77"/>
      <c r="W61" s="70"/>
      <c r="X61" s="70"/>
      <c r="Y61" s="81"/>
      <c r="Z61" s="81"/>
      <c r="AA61" s="81"/>
      <c r="AB61" s="81"/>
      <c r="AC61" s="81"/>
      <c r="AD61" s="81"/>
      <c r="AE61" s="73"/>
      <c r="AF61" s="73"/>
      <c r="AG61" s="77" t="s">
        <v>68</v>
      </c>
      <c r="AH61" s="82"/>
      <c r="AI61" s="82"/>
      <c r="AJ61" s="82"/>
      <c r="AK61" s="82"/>
      <c r="AL61" s="82"/>
      <c r="AM61" s="82"/>
      <c r="AN61" s="70" t="str">
        <f>IF(COUNTIF(T61:T62,"X")&gt;0,"VĐV","Khác")</f>
        <v>Khác</v>
      </c>
      <c r="AO61" s="79">
        <f t="array" ref="AO61">IFERROR(IF(AND(K61="Có",Q61="1 Kyu"),1000,IF(AND(K61="Không",Q61="1 Kyu"),2000,0)),"")+IFERROR(IFS(AND(K61="Có",R61="1 Dan"),1500,AND(K61="Không",R61="1 Dan"),2500,AND(K61="Có",R61="2 Dan"),2200,AND(K61="Không",R61="2 Dan"),4200,AND(K61="Có",R61="3 Dan"),3000,AND(K61="Không",R61="3 Dan"),5000,AND(K61="Có",R61="4 Dan"),4500,AND(K61="Không",R61="4 Dan"),6500,AND(K61="Có",R61="5 Dan"),6000,AND(K61="Không",R61="5 Dan"),8000),0)</f>
        <v>0</v>
      </c>
      <c r="AP61" s="80">
        <f t="array" ref="AP61">IFERROR(IFS(AND(COUNTIF(T61:T62,"X")=1,K61="Có",AB61="Phòng đơn"),1900,AND(COUNTIF(T61:T62,"X")=1,K61="Có",AB61="Phòng đôi"),1550,AND(COUNTIF(T61:T62,"X")=1,K61="Có",AB61="Phòng ba"),1450,AND(COUNTIF(T61:T62,"X")=2,K61="Có",AB61="Phòng đơn"),2200,AND(COUNTIF(T61:T62,"X")=2,K61="Có",AB61="Phòng đôi"),1850,AND(COUNTIF(T61:T62,"X")=2,K61="Có",AB61="Phòng ba"),1750,
AND(COUNTIF(T61:T62,"X")=1,K61="Không",AB61="Phòng đơn"),2400,AND(COUNTIF(T61:T62,"X")=1,K61="Không",AB61="Phòng đôi"),1950,AND(COUNTIF(T61:T62,"X")=1,K61="Không",AB61="Phòng ba"),1850,AND(COUNTIF(T61:T62,"X")=2,K61="Không",AB61="Phòng đơn"),2800,AND(COUNTIF(T61:T62,"X")=2,K61="Không",AB61="Phòng đôi"),2350,AND(COUNTIF(T61:T62,"X")=2,K61="Không",AB61="Phòng ba"),2250),0)</f>
        <v>0</v>
      </c>
      <c r="AQ61" s="80">
        <f>COUNTIF(Y61:AD62,"Phòng đơn")*700
+COUNTIF(Y61:AD62,"Phòng đôi")*350
+COUNTIF(Y61:AD62,"Phòng ba")*250
-IF(AND(COUNTIF(T61:T62,"X")&gt;0,AB61&lt;&gt;""),IF(AB61="Phòng đơn",700,IF(AB61="Phòng đôi",350,IF(AB61="Phòng ba",250,0))),0)</f>
        <v>0</v>
      </c>
      <c r="AR61" s="73">
        <f>COUNTIF(AH61:AM61,"X")*120
+COUNTIF(AH62:AM62,"X")*200
-COUNTIF(T61:T62,"X")*120
-IF(COUNTA(Q61:R62)&gt;0,120,0)</f>
        <v>0</v>
      </c>
      <c r="AS61" s="80">
        <f>IF(COUNTIF(T61:T62,"X")&gt;0,0,IF(AND(AF61="Có",COUNTIF(T61:T62,"X")=0),700,0))</f>
        <v>0</v>
      </c>
      <c r="AT61" s="80">
        <f>SUM(AO61:AS62)</f>
        <v>0</v>
      </c>
      <c r="AU61" s="67"/>
      <c r="AV61" s="68"/>
    </row>
    <row r="62" ht="29.25" customHeight="1">
      <c r="A62" s="57"/>
      <c r="B62" s="57"/>
      <c r="C62" s="57"/>
      <c r="D62" s="57"/>
      <c r="E62" s="57"/>
      <c r="F62" s="57"/>
      <c r="G62" s="57"/>
      <c r="H62" s="57"/>
      <c r="I62" s="57"/>
      <c r="J62" s="57"/>
      <c r="K62" s="57"/>
      <c r="L62" s="57"/>
      <c r="M62" s="57"/>
      <c r="N62" s="57"/>
      <c r="O62" s="57"/>
      <c r="P62" s="57"/>
      <c r="Q62" s="57"/>
      <c r="R62" s="57"/>
      <c r="S62" s="74" t="str">
        <f>IF(C61="Nữ","Đội nữ 5 người",IF(C61="Nam","Đội nam 5 người",""))</f>
        <v/>
      </c>
      <c r="T62" s="77"/>
      <c r="U62" s="77"/>
      <c r="V62" s="77"/>
      <c r="W62" s="57"/>
      <c r="X62" s="57"/>
      <c r="Y62" s="57"/>
      <c r="Z62" s="57"/>
      <c r="AA62" s="57"/>
      <c r="AB62" s="57"/>
      <c r="AC62" s="57"/>
      <c r="AD62" s="57"/>
      <c r="AE62" s="57"/>
      <c r="AF62" s="57"/>
      <c r="AG62" s="77" t="s">
        <v>71</v>
      </c>
      <c r="AH62" s="82"/>
      <c r="AI62" s="82"/>
      <c r="AJ62" s="82"/>
      <c r="AK62" s="69" t="s">
        <v>51</v>
      </c>
      <c r="AL62" s="82"/>
      <c r="AM62" s="82"/>
      <c r="AN62" s="57"/>
      <c r="AO62" s="57"/>
      <c r="AP62" s="57"/>
      <c r="AQ62" s="57"/>
      <c r="AR62" s="57"/>
      <c r="AS62" s="57"/>
      <c r="AT62" s="57"/>
      <c r="AU62" s="67"/>
      <c r="AV62" s="68"/>
    </row>
    <row r="63" ht="29.25" customHeight="1">
      <c r="A63" s="70">
        <f>INT((ROW()-9)/2)+1</f>
        <v>28</v>
      </c>
      <c r="B63" s="70"/>
      <c r="C63" s="70"/>
      <c r="D63" s="70"/>
      <c r="E63" s="70"/>
      <c r="F63" s="70"/>
      <c r="G63" s="73"/>
      <c r="H63" s="73"/>
      <c r="I63" s="73"/>
      <c r="J63" s="73"/>
      <c r="K63" s="73"/>
      <c r="L63" s="73"/>
      <c r="M63" s="70"/>
      <c r="N63" s="73"/>
      <c r="O63" s="73"/>
      <c r="P63" s="70"/>
      <c r="Q63" s="70"/>
      <c r="R63" s="70"/>
      <c r="S63" s="74" t="str">
        <f>IF(C63="Nữ","Đội nữ 3 người",IF(C63="Nam","Đội nam 3 người",""))</f>
        <v/>
      </c>
      <c r="T63" s="77"/>
      <c r="U63" s="77"/>
      <c r="V63" s="77"/>
      <c r="W63" s="70"/>
      <c r="X63" s="70"/>
      <c r="Y63" s="81"/>
      <c r="Z63" s="81"/>
      <c r="AA63" s="81"/>
      <c r="AB63" s="81"/>
      <c r="AC63" s="81"/>
      <c r="AD63" s="81"/>
      <c r="AE63" s="73"/>
      <c r="AF63" s="73"/>
      <c r="AG63" s="77" t="s">
        <v>68</v>
      </c>
      <c r="AH63" s="82"/>
      <c r="AI63" s="82"/>
      <c r="AJ63" s="82"/>
      <c r="AK63" s="82"/>
      <c r="AL63" s="82"/>
      <c r="AM63" s="82"/>
      <c r="AN63" s="70" t="str">
        <f>IF(COUNTIF(T63:T64,"X")&gt;0,"VĐV","Khác")</f>
        <v>Khác</v>
      </c>
      <c r="AO63" s="79">
        <f t="array" ref="AO63">IFERROR(IF(AND(K63="Có",Q63="1 Kyu"),1000,IF(AND(K63="Không",Q63="1 Kyu"),2000,0)),"")+IFERROR(IFS(AND(K63="Có",R63="1 Dan"),1500,AND(K63="Không",R63="1 Dan"),2500,AND(K63="Có",R63="2 Dan"),2200,AND(K63="Không",R63="2 Dan"),4200,AND(K63="Có",R63="3 Dan"),3000,AND(K63="Không",R63="3 Dan"),5000,AND(K63="Có",R63="4 Dan"),4500,AND(K63="Không",R63="4 Dan"),6500,AND(K63="Có",R63="5 Dan"),6000,AND(K63="Không",R63="5 Dan"),8000),0)</f>
        <v>0</v>
      </c>
      <c r="AP63" s="80">
        <f t="array" ref="AP63">IFERROR(IFS(AND(COUNTIF(T63:T64,"X")=1,K63="Có",AB63="Phòng đơn"),1900,AND(COUNTIF(T63:T64,"X")=1,K63="Có",AB63="Phòng đôi"),1550,AND(COUNTIF(T63:T64,"X")=1,K63="Có",AB63="Phòng ba"),1450,AND(COUNTIF(T63:T64,"X")=2,K63="Có",AB63="Phòng đơn"),2200,AND(COUNTIF(T63:T64,"X")=2,K63="Có",AB63="Phòng đôi"),1850,AND(COUNTIF(T63:T64,"X")=2,K63="Có",AB63="Phòng ba"),1750,
AND(COUNTIF(T63:T64,"X")=1,K63="Không",AB63="Phòng đơn"),2400,AND(COUNTIF(T63:T64,"X")=1,K63="Không",AB63="Phòng đôi"),1950,AND(COUNTIF(T63:T64,"X")=1,K63="Không",AB63="Phòng ba"),1850,AND(COUNTIF(T63:T64,"X")=2,K63="Không",AB63="Phòng đơn"),2800,AND(COUNTIF(T63:T64,"X")=2,K63="Không",AB63="Phòng đôi"),2350,AND(COUNTIF(T63:T64,"X")=2,K63="Không",AB63="Phòng ba"),2250),0)</f>
        <v>0</v>
      </c>
      <c r="AQ63" s="80">
        <f>COUNTIF(Y63:AD64,"Phòng đơn")*700
+COUNTIF(Y63:AD64,"Phòng đôi")*350
+COUNTIF(Y63:AD64,"Phòng ba")*250
-IF(AND(COUNTIF(T63:T64,"X")&gt;0,AB63&lt;&gt;""),IF(AB63="Phòng đơn",700,IF(AB63="Phòng đôi",350,IF(AB63="Phòng ba",250,0))),0)</f>
        <v>0</v>
      </c>
      <c r="AR63" s="73">
        <f>COUNTIF(AH63:AM63,"X")*120
+COUNTIF(AH64:AM64,"X")*200
-COUNTIF(T63:T64,"X")*120
-IF(COUNTA(Q63:R64)&gt;0,120,0)</f>
        <v>0</v>
      </c>
      <c r="AS63" s="80">
        <f>IF(COUNTIF(T63:T64,"X")&gt;0,0,IF(AND(AF63="Có",COUNTIF(T63:T64,"X")=0),700,0))</f>
        <v>0</v>
      </c>
      <c r="AT63" s="80">
        <f>SUM(AO63:AS64)</f>
        <v>0</v>
      </c>
      <c r="AU63" s="67"/>
      <c r="AV63" s="68"/>
    </row>
    <row r="64" ht="29.25" customHeight="1">
      <c r="A64" s="57"/>
      <c r="B64" s="57"/>
      <c r="C64" s="57"/>
      <c r="D64" s="57"/>
      <c r="E64" s="57"/>
      <c r="F64" s="57"/>
      <c r="G64" s="57"/>
      <c r="H64" s="57"/>
      <c r="I64" s="57"/>
      <c r="J64" s="57"/>
      <c r="K64" s="57"/>
      <c r="L64" s="57"/>
      <c r="M64" s="57"/>
      <c r="N64" s="57"/>
      <c r="O64" s="57"/>
      <c r="P64" s="57"/>
      <c r="Q64" s="57"/>
      <c r="R64" s="57"/>
      <c r="S64" s="74" t="str">
        <f>IF(C63="Nữ","Đội nữ 5 người",IF(C63="Nam","Đội nam 5 người",""))</f>
        <v/>
      </c>
      <c r="T64" s="77"/>
      <c r="U64" s="77"/>
      <c r="V64" s="77"/>
      <c r="W64" s="57"/>
      <c r="X64" s="57"/>
      <c r="Y64" s="57"/>
      <c r="Z64" s="57"/>
      <c r="AA64" s="57"/>
      <c r="AB64" s="57"/>
      <c r="AC64" s="57"/>
      <c r="AD64" s="57"/>
      <c r="AE64" s="57"/>
      <c r="AF64" s="57"/>
      <c r="AG64" s="77" t="s">
        <v>71</v>
      </c>
      <c r="AH64" s="82"/>
      <c r="AI64" s="82"/>
      <c r="AJ64" s="82"/>
      <c r="AK64" s="69" t="s">
        <v>51</v>
      </c>
      <c r="AL64" s="82"/>
      <c r="AM64" s="82"/>
      <c r="AN64" s="57"/>
      <c r="AO64" s="57"/>
      <c r="AP64" s="57"/>
      <c r="AQ64" s="57"/>
      <c r="AR64" s="57"/>
      <c r="AS64" s="57"/>
      <c r="AT64" s="57"/>
      <c r="AU64" s="67"/>
      <c r="AV64" s="68"/>
    </row>
    <row r="65" ht="29.25" customHeight="1">
      <c r="A65" s="70">
        <f>INT((ROW()-9)/2)+1</f>
        <v>29</v>
      </c>
      <c r="B65" s="70"/>
      <c r="C65" s="70"/>
      <c r="D65" s="70"/>
      <c r="E65" s="70"/>
      <c r="F65" s="70"/>
      <c r="G65" s="73"/>
      <c r="H65" s="73"/>
      <c r="I65" s="73"/>
      <c r="J65" s="73"/>
      <c r="K65" s="73"/>
      <c r="L65" s="73"/>
      <c r="M65" s="70"/>
      <c r="N65" s="73"/>
      <c r="O65" s="73"/>
      <c r="P65" s="70"/>
      <c r="Q65" s="70"/>
      <c r="R65" s="70"/>
      <c r="S65" s="74" t="str">
        <f>IF(C65="Nữ","Đội nữ 3 người",IF(C65="Nam","Đội nam 3 người",""))</f>
        <v/>
      </c>
      <c r="T65" s="77"/>
      <c r="U65" s="77"/>
      <c r="V65" s="77"/>
      <c r="W65" s="70"/>
      <c r="X65" s="70"/>
      <c r="Y65" s="81"/>
      <c r="Z65" s="81"/>
      <c r="AA65" s="81"/>
      <c r="AB65" s="81"/>
      <c r="AC65" s="81"/>
      <c r="AD65" s="81"/>
      <c r="AE65" s="73"/>
      <c r="AF65" s="73"/>
      <c r="AG65" s="77" t="s">
        <v>68</v>
      </c>
      <c r="AH65" s="82"/>
      <c r="AI65" s="82"/>
      <c r="AJ65" s="82"/>
      <c r="AK65" s="82"/>
      <c r="AL65" s="82"/>
      <c r="AM65" s="82"/>
      <c r="AN65" s="70" t="str">
        <f>IF(COUNTIF(T65:T66,"X")&gt;0,"VĐV","Khác")</f>
        <v>Khác</v>
      </c>
      <c r="AO65" s="79">
        <f t="array" ref="AO65">IFERROR(IF(AND(K65="Có",Q65="1 Kyu"),1000,IF(AND(K65="Không",Q65="1 Kyu"),2000,0)),"")+IFERROR(IFS(AND(K65="Có",R65="1 Dan"),1500,AND(K65="Không",R65="1 Dan"),2500,AND(K65="Có",R65="2 Dan"),2200,AND(K65="Không",R65="2 Dan"),4200,AND(K65="Có",R65="3 Dan"),3000,AND(K65="Không",R65="3 Dan"),5000,AND(K65="Có",R65="4 Dan"),4500,AND(K65="Không",R65="4 Dan"),6500,AND(K65="Có",R65="5 Dan"),6000,AND(K65="Không",R65="5 Dan"),8000),0)</f>
        <v>0</v>
      </c>
      <c r="AP65" s="80">
        <f t="array" ref="AP65">IFERROR(IFS(AND(COUNTIF(T65:T66,"X")=1,K65="Có",AB65="Phòng đơn"),1900,AND(COUNTIF(T65:T66,"X")=1,K65="Có",AB65="Phòng đôi"),1550,AND(COUNTIF(T65:T66,"X")=1,K65="Có",AB65="Phòng ba"),1450,AND(COUNTIF(T65:T66,"X")=2,K65="Có",AB65="Phòng đơn"),2200,AND(COUNTIF(T65:T66,"X")=2,K65="Có",AB65="Phòng đôi"),1850,AND(COUNTIF(T65:T66,"X")=2,K65="Có",AB65="Phòng ba"),1750,
AND(COUNTIF(T65:T66,"X")=1,K65="Không",AB65="Phòng đơn"),2400,AND(COUNTIF(T65:T66,"X")=1,K65="Không",AB65="Phòng đôi"),1950,AND(COUNTIF(T65:T66,"X")=1,K65="Không",AB65="Phòng ba"),1850,AND(COUNTIF(T65:T66,"X")=2,K65="Không",AB65="Phòng đơn"),2800,AND(COUNTIF(T65:T66,"X")=2,K65="Không",AB65="Phòng đôi"),2350,AND(COUNTIF(T65:T66,"X")=2,K65="Không",AB65="Phòng ba"),2250),0)</f>
        <v>0</v>
      </c>
      <c r="AQ65" s="80">
        <f>COUNTIF(Y65:AD66,"Phòng đơn")*700
+COUNTIF(Y65:AD66,"Phòng đôi")*350
+COUNTIF(Y65:AD66,"Phòng ba")*250
-IF(AND(COUNTIF(T65:T66,"X")&gt;0,AB65&lt;&gt;""),IF(AB65="Phòng đơn",700,IF(AB65="Phòng đôi",350,IF(AB65="Phòng ba",250,0))),0)</f>
        <v>0</v>
      </c>
      <c r="AR65" s="73">
        <f>COUNTIF(AH65:AM65,"X")*120
+COUNTIF(AH66:AM66,"X")*200
-COUNTIF(T65:T66,"X")*120
-IF(COUNTA(Q65:R66)&gt;0,120,0)</f>
        <v>0</v>
      </c>
      <c r="AS65" s="80">
        <f>IF(COUNTIF(T65:T66,"X")&gt;0,0,IF(AND(AF65="Có",COUNTIF(T65:T66,"X")=0),700,0))</f>
        <v>0</v>
      </c>
      <c r="AT65" s="80">
        <f>SUM(AO65:AS66)</f>
        <v>0</v>
      </c>
      <c r="AU65" s="67"/>
      <c r="AV65" s="68"/>
    </row>
    <row r="66" ht="29.25" customHeight="1">
      <c r="A66" s="57"/>
      <c r="B66" s="57"/>
      <c r="C66" s="57"/>
      <c r="D66" s="57"/>
      <c r="E66" s="57"/>
      <c r="F66" s="57"/>
      <c r="G66" s="57"/>
      <c r="H66" s="57"/>
      <c r="I66" s="57"/>
      <c r="J66" s="57"/>
      <c r="K66" s="57"/>
      <c r="L66" s="57"/>
      <c r="M66" s="57"/>
      <c r="N66" s="57"/>
      <c r="O66" s="57"/>
      <c r="P66" s="57"/>
      <c r="Q66" s="57"/>
      <c r="R66" s="57"/>
      <c r="S66" s="74" t="str">
        <f>IF(C65="Nữ","Đội nữ 5 người",IF(C65="Nam","Đội nam 5 người",""))</f>
        <v/>
      </c>
      <c r="T66" s="77"/>
      <c r="U66" s="77"/>
      <c r="V66" s="77"/>
      <c r="W66" s="57"/>
      <c r="X66" s="57"/>
      <c r="Y66" s="57"/>
      <c r="Z66" s="57"/>
      <c r="AA66" s="57"/>
      <c r="AB66" s="57"/>
      <c r="AC66" s="57"/>
      <c r="AD66" s="57"/>
      <c r="AE66" s="57"/>
      <c r="AF66" s="57"/>
      <c r="AG66" s="77" t="s">
        <v>71</v>
      </c>
      <c r="AH66" s="82"/>
      <c r="AI66" s="82"/>
      <c r="AJ66" s="82"/>
      <c r="AK66" s="69" t="s">
        <v>51</v>
      </c>
      <c r="AL66" s="82"/>
      <c r="AM66" s="82"/>
      <c r="AN66" s="57"/>
      <c r="AO66" s="57"/>
      <c r="AP66" s="57"/>
      <c r="AQ66" s="57"/>
      <c r="AR66" s="57"/>
      <c r="AS66" s="57"/>
      <c r="AT66" s="57"/>
      <c r="AU66" s="67"/>
      <c r="AV66" s="68"/>
    </row>
    <row r="67" ht="29.25" customHeight="1">
      <c r="A67" s="70">
        <f>INT((ROW()-9)/2)+1</f>
        <v>30</v>
      </c>
      <c r="B67" s="70"/>
      <c r="C67" s="70"/>
      <c r="D67" s="70"/>
      <c r="E67" s="70"/>
      <c r="F67" s="70"/>
      <c r="G67" s="73"/>
      <c r="H67" s="73"/>
      <c r="I67" s="73"/>
      <c r="J67" s="73"/>
      <c r="K67" s="73"/>
      <c r="L67" s="73"/>
      <c r="M67" s="70"/>
      <c r="N67" s="73"/>
      <c r="O67" s="73"/>
      <c r="P67" s="70"/>
      <c r="Q67" s="70"/>
      <c r="R67" s="70"/>
      <c r="S67" s="74" t="str">
        <f>IF(C67="Nữ","Đội nữ 3 người",IF(C67="Nam","Đội nam 3 người",""))</f>
        <v/>
      </c>
      <c r="T67" s="77"/>
      <c r="U67" s="77"/>
      <c r="V67" s="77"/>
      <c r="W67" s="70"/>
      <c r="X67" s="70"/>
      <c r="Y67" s="81"/>
      <c r="Z67" s="81"/>
      <c r="AA67" s="81"/>
      <c r="AB67" s="81"/>
      <c r="AC67" s="81"/>
      <c r="AD67" s="81"/>
      <c r="AE67" s="73"/>
      <c r="AF67" s="73"/>
      <c r="AG67" s="77" t="s">
        <v>68</v>
      </c>
      <c r="AH67" s="82"/>
      <c r="AI67" s="82"/>
      <c r="AJ67" s="82"/>
      <c r="AK67" s="82"/>
      <c r="AL67" s="82"/>
      <c r="AM67" s="82"/>
      <c r="AN67" s="70" t="str">
        <f>IF(COUNTIF(T67:T68,"X")&gt;0,"VĐV","Khác")</f>
        <v>Khác</v>
      </c>
      <c r="AO67" s="79">
        <f t="array" ref="AO67">IFERROR(IF(AND(K67="Có",Q67="1 Kyu"),1000,IF(AND(K67="Không",Q67="1 Kyu"),2000,0)),"")+IFERROR(IFS(AND(K67="Có",R67="1 Dan"),1500,AND(K67="Không",R67="1 Dan"),2500,AND(K67="Có",R67="2 Dan"),2200,AND(K67="Không",R67="2 Dan"),4200,AND(K67="Có",R67="3 Dan"),3000,AND(K67="Không",R67="3 Dan"),5000,AND(K67="Có",R67="4 Dan"),4500,AND(K67="Không",R67="4 Dan"),6500,AND(K67="Có",R67="5 Dan"),6000,AND(K67="Không",R67="5 Dan"),8000),0)</f>
        <v>0</v>
      </c>
      <c r="AP67" s="80">
        <f t="array" ref="AP67">IFERROR(IFS(AND(COUNTIF(T67:T68,"X")=1,K67="Có",AB67="Phòng đơn"),1900,AND(COUNTIF(T67:T68,"X")=1,K67="Có",AB67="Phòng đôi"),1550,AND(COUNTIF(T67:T68,"X")=1,K67="Có",AB67="Phòng ba"),1450,AND(COUNTIF(T67:T68,"X")=2,K67="Có",AB67="Phòng đơn"),2200,AND(COUNTIF(T67:T68,"X")=2,K67="Có",AB67="Phòng đôi"),1850,AND(COUNTIF(T67:T68,"X")=2,K67="Có",AB67="Phòng ba"),1750,
AND(COUNTIF(T67:T68,"X")=1,K67="Không",AB67="Phòng đơn"),2400,AND(COUNTIF(T67:T68,"X")=1,K67="Không",AB67="Phòng đôi"),1950,AND(COUNTIF(T67:T68,"X")=1,K67="Không",AB67="Phòng ba"),1850,AND(COUNTIF(T67:T68,"X")=2,K67="Không",AB67="Phòng đơn"),2800,AND(COUNTIF(T67:T68,"X")=2,K67="Không",AB67="Phòng đôi"),2350,AND(COUNTIF(T67:T68,"X")=2,K67="Không",AB67="Phòng ba"),2250),0)</f>
        <v>0</v>
      </c>
      <c r="AQ67" s="80">
        <f>COUNTIF(Y67:AD68,"Phòng đơn")*700
+COUNTIF(Y67:AD68,"Phòng đôi")*350
+COUNTIF(Y67:AD68,"Phòng ba")*250
-IF(AND(COUNTIF(T67:T68,"X")&gt;0,AB67&lt;&gt;""),IF(AB67="Phòng đơn",700,IF(AB67="Phòng đôi",350,IF(AB67="Phòng ba",250,0))),0)</f>
        <v>0</v>
      </c>
      <c r="AR67" s="73">
        <f>COUNTIF(AH67:AM67,"X")*120
+COUNTIF(AH68:AM68,"X")*200
-COUNTIF(T67:T68,"X")*120
-IF(COUNTA(Q67:R68)&gt;0,120,0)</f>
        <v>0</v>
      </c>
      <c r="AS67" s="80">
        <f>IF(COUNTIF(T67:T68,"X")&gt;0,0,IF(AND(AF67="Có",COUNTIF(T67:T68,"X")=0),700,0))</f>
        <v>0</v>
      </c>
      <c r="AT67" s="80">
        <f>SUM(AO67:AS68)</f>
        <v>0</v>
      </c>
      <c r="AU67" s="67"/>
      <c r="AV67" s="68"/>
    </row>
    <row r="68" ht="29.25" customHeight="1">
      <c r="A68" s="57"/>
      <c r="B68" s="57"/>
      <c r="C68" s="57"/>
      <c r="D68" s="57"/>
      <c r="E68" s="57"/>
      <c r="F68" s="57"/>
      <c r="G68" s="57"/>
      <c r="H68" s="57"/>
      <c r="I68" s="57"/>
      <c r="J68" s="57"/>
      <c r="K68" s="57"/>
      <c r="L68" s="57"/>
      <c r="M68" s="57"/>
      <c r="N68" s="57"/>
      <c r="O68" s="57"/>
      <c r="P68" s="57"/>
      <c r="Q68" s="57"/>
      <c r="R68" s="57"/>
      <c r="S68" s="74" t="str">
        <f>IF(C67="Nữ","Đội nữ 5 người",IF(C67="Nam","Đội nam 5 người",""))</f>
        <v/>
      </c>
      <c r="T68" s="77"/>
      <c r="U68" s="77"/>
      <c r="V68" s="77"/>
      <c r="W68" s="57"/>
      <c r="X68" s="57"/>
      <c r="Y68" s="57"/>
      <c r="Z68" s="57"/>
      <c r="AA68" s="57"/>
      <c r="AB68" s="57"/>
      <c r="AC68" s="57"/>
      <c r="AD68" s="57"/>
      <c r="AE68" s="57"/>
      <c r="AF68" s="57"/>
      <c r="AG68" s="77" t="s">
        <v>71</v>
      </c>
      <c r="AH68" s="82"/>
      <c r="AI68" s="82"/>
      <c r="AJ68" s="82"/>
      <c r="AK68" s="69" t="s">
        <v>51</v>
      </c>
      <c r="AL68" s="82"/>
      <c r="AM68" s="82"/>
      <c r="AN68" s="57"/>
      <c r="AO68" s="57"/>
      <c r="AP68" s="57"/>
      <c r="AQ68" s="57"/>
      <c r="AR68" s="57"/>
      <c r="AS68" s="57"/>
      <c r="AT68" s="57"/>
      <c r="AU68" s="67"/>
      <c r="AV68" s="68"/>
    </row>
    <row r="69" ht="29.25" customHeight="1">
      <c r="A69" s="70">
        <f>INT((ROW()-9)/2)+1</f>
        <v>31</v>
      </c>
      <c r="B69" s="70"/>
      <c r="C69" s="70"/>
      <c r="D69" s="70"/>
      <c r="E69" s="70"/>
      <c r="F69" s="70"/>
      <c r="G69" s="73"/>
      <c r="H69" s="73"/>
      <c r="I69" s="73"/>
      <c r="J69" s="73"/>
      <c r="K69" s="73"/>
      <c r="L69" s="73"/>
      <c r="M69" s="70"/>
      <c r="N69" s="73"/>
      <c r="O69" s="73"/>
      <c r="P69" s="70"/>
      <c r="Q69" s="70"/>
      <c r="R69" s="70"/>
      <c r="S69" s="74" t="str">
        <f>IF(C69="Nữ","Đội nữ 3 người",IF(C69="Nam","Đội nam 3 người",""))</f>
        <v/>
      </c>
      <c r="T69" s="77"/>
      <c r="U69" s="77"/>
      <c r="V69" s="77"/>
      <c r="W69" s="70"/>
      <c r="X69" s="70"/>
      <c r="Y69" s="81"/>
      <c r="Z69" s="81"/>
      <c r="AA69" s="81"/>
      <c r="AB69" s="81"/>
      <c r="AC69" s="81"/>
      <c r="AD69" s="81"/>
      <c r="AE69" s="73"/>
      <c r="AF69" s="73"/>
      <c r="AG69" s="77" t="s">
        <v>68</v>
      </c>
      <c r="AH69" s="82"/>
      <c r="AI69" s="82"/>
      <c r="AJ69" s="82"/>
      <c r="AK69" s="82"/>
      <c r="AL69" s="82"/>
      <c r="AM69" s="82"/>
      <c r="AN69" s="70" t="str">
        <f>IF(COUNTIF(T69:T70,"X")&gt;0,"VĐV","Khác")</f>
        <v>Khác</v>
      </c>
      <c r="AO69" s="79">
        <f t="array" ref="AO69">IFERROR(IF(AND(K69="Có",Q69="1 Kyu"),1000,IF(AND(K69="Không",Q69="1 Kyu"),2000,0)),"")+IFERROR(IFS(AND(K69="Có",R69="1 Dan"),1500,AND(K69="Không",R69="1 Dan"),2500,AND(K69="Có",R69="2 Dan"),2200,AND(K69="Không",R69="2 Dan"),4200,AND(K69="Có",R69="3 Dan"),3000,AND(K69="Không",R69="3 Dan"),5000,AND(K69="Có",R69="4 Dan"),4500,AND(K69="Không",R69="4 Dan"),6500,AND(K69="Có",R69="5 Dan"),6000,AND(K69="Không",R69="5 Dan"),8000),0)</f>
        <v>0</v>
      </c>
      <c r="AP69" s="80">
        <f t="array" ref="AP69">IFERROR(IFS(AND(COUNTIF(T69:T70,"X")=1,K69="Có",AB69="Phòng đơn"),1900,AND(COUNTIF(T69:T70,"X")=1,K69="Có",AB69="Phòng đôi"),1550,AND(COUNTIF(T69:T70,"X")=1,K69="Có",AB69="Phòng ba"),1450,AND(COUNTIF(T69:T70,"X")=2,K69="Có",AB69="Phòng đơn"),2200,AND(COUNTIF(T69:T70,"X")=2,K69="Có",AB69="Phòng đôi"),1850,AND(COUNTIF(T69:T70,"X")=2,K69="Có",AB69="Phòng ba"),1750,
AND(COUNTIF(T69:T70,"X")=1,K69="Không",AB69="Phòng đơn"),2400,AND(COUNTIF(T69:T70,"X")=1,K69="Không",AB69="Phòng đôi"),1950,AND(COUNTIF(T69:T70,"X")=1,K69="Không",AB69="Phòng ba"),1850,AND(COUNTIF(T69:T70,"X")=2,K69="Không",AB69="Phòng đơn"),2800,AND(COUNTIF(T69:T70,"X")=2,K69="Không",AB69="Phòng đôi"),2350,AND(COUNTIF(T69:T70,"X")=2,K69="Không",AB69="Phòng ba"),2250),0)</f>
        <v>0</v>
      </c>
      <c r="AQ69" s="80">
        <f>COUNTIF(Y69:AD70,"Phòng đơn")*700
+COUNTIF(Y69:AD70,"Phòng đôi")*350
+COUNTIF(Y69:AD70,"Phòng ba")*250
-IF(AND(COUNTIF(T69:T70,"X")&gt;0,AB69&lt;&gt;""),IF(AB69="Phòng đơn",700,IF(AB69="Phòng đôi",350,IF(AB69="Phòng ba",250,0))),0)</f>
        <v>0</v>
      </c>
      <c r="AR69" s="73">
        <f>COUNTIF(AH69:AM69,"X")*120
+COUNTIF(AH70:AM70,"X")*200
-COUNTIF(T69:T70,"X")*120
-IF(COUNTA(Q69:R70)&gt;0,120,0)</f>
        <v>0</v>
      </c>
      <c r="AS69" s="80">
        <f>IF(COUNTIF(T69:T70,"X")&gt;0,0,IF(AND(AF69="Có",COUNTIF(T69:T70,"X")=0),700,0))</f>
        <v>0</v>
      </c>
      <c r="AT69" s="80">
        <f>SUM(AO69:AS70)</f>
        <v>0</v>
      </c>
      <c r="AU69" s="67"/>
      <c r="AV69" s="68"/>
    </row>
    <row r="70" ht="29.25" customHeight="1">
      <c r="A70" s="57"/>
      <c r="B70" s="57"/>
      <c r="C70" s="57"/>
      <c r="D70" s="57"/>
      <c r="E70" s="57"/>
      <c r="F70" s="57"/>
      <c r="G70" s="57"/>
      <c r="H70" s="57"/>
      <c r="I70" s="57"/>
      <c r="J70" s="57"/>
      <c r="K70" s="57"/>
      <c r="L70" s="57"/>
      <c r="M70" s="57"/>
      <c r="N70" s="57"/>
      <c r="O70" s="57"/>
      <c r="P70" s="57"/>
      <c r="Q70" s="57"/>
      <c r="R70" s="57"/>
      <c r="S70" s="74" t="str">
        <f>IF(C69="Nữ","Đội nữ 5 người",IF(C69="Nam","Đội nam 5 người",""))</f>
        <v/>
      </c>
      <c r="T70" s="77"/>
      <c r="U70" s="77"/>
      <c r="V70" s="77"/>
      <c r="W70" s="57"/>
      <c r="X70" s="57"/>
      <c r="Y70" s="57"/>
      <c r="Z70" s="57"/>
      <c r="AA70" s="57"/>
      <c r="AB70" s="57"/>
      <c r="AC70" s="57"/>
      <c r="AD70" s="57"/>
      <c r="AE70" s="57"/>
      <c r="AF70" s="57"/>
      <c r="AG70" s="77" t="s">
        <v>71</v>
      </c>
      <c r="AH70" s="82"/>
      <c r="AI70" s="82"/>
      <c r="AJ70" s="82"/>
      <c r="AK70" s="69" t="s">
        <v>51</v>
      </c>
      <c r="AL70" s="82"/>
      <c r="AM70" s="82"/>
      <c r="AN70" s="57"/>
      <c r="AO70" s="57"/>
      <c r="AP70" s="57"/>
      <c r="AQ70" s="57"/>
      <c r="AR70" s="57"/>
      <c r="AS70" s="57"/>
      <c r="AT70" s="57"/>
      <c r="AU70" s="67"/>
      <c r="AV70" s="68"/>
    </row>
    <row r="71" ht="29.25" customHeight="1">
      <c r="A71" s="70">
        <f>INT((ROW()-9)/2)+1</f>
        <v>32</v>
      </c>
      <c r="B71" s="70"/>
      <c r="C71" s="70"/>
      <c r="D71" s="70"/>
      <c r="E71" s="70"/>
      <c r="F71" s="70"/>
      <c r="G71" s="73"/>
      <c r="H71" s="73"/>
      <c r="I71" s="73"/>
      <c r="J71" s="73"/>
      <c r="K71" s="73"/>
      <c r="L71" s="73"/>
      <c r="M71" s="70"/>
      <c r="N71" s="73"/>
      <c r="O71" s="73"/>
      <c r="P71" s="70"/>
      <c r="Q71" s="70"/>
      <c r="R71" s="70"/>
      <c r="S71" s="74" t="str">
        <f>IF(C71="Nữ","Đội nữ 3 người",IF(C71="Nam","Đội nam 3 người",""))</f>
        <v/>
      </c>
      <c r="T71" s="77"/>
      <c r="U71" s="77"/>
      <c r="V71" s="77"/>
      <c r="W71" s="70"/>
      <c r="X71" s="70"/>
      <c r="Y71" s="81"/>
      <c r="Z71" s="81"/>
      <c r="AA71" s="81"/>
      <c r="AB71" s="81"/>
      <c r="AC71" s="81"/>
      <c r="AD71" s="81"/>
      <c r="AE71" s="73"/>
      <c r="AF71" s="73"/>
      <c r="AG71" s="77" t="s">
        <v>68</v>
      </c>
      <c r="AH71" s="82"/>
      <c r="AI71" s="82"/>
      <c r="AJ71" s="82"/>
      <c r="AK71" s="82"/>
      <c r="AL71" s="82"/>
      <c r="AM71" s="82"/>
      <c r="AN71" s="70" t="str">
        <f>IF(COUNTIF(T71:T72,"X")&gt;0,"VĐV","Khác")</f>
        <v>Khác</v>
      </c>
      <c r="AO71" s="79">
        <f t="array" ref="AO71">IFERROR(IF(AND(K71="Có",Q71="1 Kyu"),1000,IF(AND(K71="Không",Q71="1 Kyu"),2000,0)),"")+IFERROR(IFS(AND(K71="Có",R71="1 Dan"),1500,AND(K71="Không",R71="1 Dan"),2500,AND(K71="Có",R71="2 Dan"),2200,AND(K71="Không",R71="2 Dan"),4200,AND(K71="Có",R71="3 Dan"),3000,AND(K71="Không",R71="3 Dan"),5000,AND(K71="Có",R71="4 Dan"),4500,AND(K71="Không",R71="4 Dan"),6500,AND(K71="Có",R71="5 Dan"),6000,AND(K71="Không",R71="5 Dan"),8000),0)</f>
        <v>0</v>
      </c>
      <c r="AP71" s="80">
        <f t="array" ref="AP71">IFERROR(IFS(AND(COUNTIF(T71:T72,"X")=1,K71="Có",AB71="Phòng đơn"),1900,AND(COUNTIF(T71:T72,"X")=1,K71="Có",AB71="Phòng đôi"),1550,AND(COUNTIF(T71:T72,"X")=1,K71="Có",AB71="Phòng ba"),1450,AND(COUNTIF(T71:T72,"X")=2,K71="Có",AB71="Phòng đơn"),2200,AND(COUNTIF(T71:T72,"X")=2,K71="Có",AB71="Phòng đôi"),1850,AND(COUNTIF(T71:T72,"X")=2,K71="Có",AB71="Phòng ba"),1750,
AND(COUNTIF(T71:T72,"X")=1,K71="Không",AB71="Phòng đơn"),2400,AND(COUNTIF(T71:T72,"X")=1,K71="Không",AB71="Phòng đôi"),1950,AND(COUNTIF(T71:T72,"X")=1,K71="Không",AB71="Phòng ba"),1850,AND(COUNTIF(T71:T72,"X")=2,K71="Không",AB71="Phòng đơn"),2800,AND(COUNTIF(T71:T72,"X")=2,K71="Không",AB71="Phòng đôi"),2350,AND(COUNTIF(T71:T72,"X")=2,K71="Không",AB71="Phòng ba"),2250),0)</f>
        <v>0</v>
      </c>
      <c r="AQ71" s="80">
        <f>COUNTIF(Y71:AD72,"Phòng đơn")*700
+COUNTIF(Y71:AD72,"Phòng đôi")*350
+COUNTIF(Y71:AD72,"Phòng ba")*250
-IF(AND(COUNTIF(T71:T72,"X")&gt;0,AB71&lt;&gt;""),IF(AB71="Phòng đơn",700,IF(AB71="Phòng đôi",350,IF(AB71="Phòng ba",250,0))),0)</f>
        <v>0</v>
      </c>
      <c r="AR71" s="73">
        <f>COUNTIF(AH71:AM71,"X")*120
+COUNTIF(AH72:AM72,"X")*200
-COUNTIF(T71:T72,"X")*120
-IF(COUNTA(Q71:R72)&gt;0,120,0)</f>
        <v>0</v>
      </c>
      <c r="AS71" s="80">
        <f>IF(COUNTIF(T71:T72,"X")&gt;0,0,IF(AND(AF71="Có",COUNTIF(T71:T72,"X")=0),700,0))</f>
        <v>0</v>
      </c>
      <c r="AT71" s="80">
        <f>SUM(AO71:AS72)</f>
        <v>0</v>
      </c>
      <c r="AU71" s="67"/>
      <c r="AV71" s="68"/>
    </row>
    <row r="72" ht="29.25" customHeight="1">
      <c r="A72" s="57"/>
      <c r="B72" s="57"/>
      <c r="C72" s="57"/>
      <c r="D72" s="57"/>
      <c r="E72" s="57"/>
      <c r="F72" s="57"/>
      <c r="G72" s="57"/>
      <c r="H72" s="57"/>
      <c r="I72" s="57"/>
      <c r="J72" s="57"/>
      <c r="K72" s="57"/>
      <c r="L72" s="57"/>
      <c r="M72" s="57"/>
      <c r="N72" s="57"/>
      <c r="O72" s="57"/>
      <c r="P72" s="57"/>
      <c r="Q72" s="57"/>
      <c r="R72" s="57"/>
      <c r="S72" s="74" t="str">
        <f>IF(C71="Nữ","Đội nữ 5 người",IF(C71="Nam","Đội nam 5 người",""))</f>
        <v/>
      </c>
      <c r="T72" s="77"/>
      <c r="U72" s="77"/>
      <c r="V72" s="77"/>
      <c r="W72" s="57"/>
      <c r="X72" s="57"/>
      <c r="Y72" s="57"/>
      <c r="Z72" s="57"/>
      <c r="AA72" s="57"/>
      <c r="AB72" s="57"/>
      <c r="AC72" s="57"/>
      <c r="AD72" s="57"/>
      <c r="AE72" s="57"/>
      <c r="AF72" s="57"/>
      <c r="AG72" s="77" t="s">
        <v>71</v>
      </c>
      <c r="AH72" s="82"/>
      <c r="AI72" s="82"/>
      <c r="AJ72" s="82"/>
      <c r="AK72" s="69" t="s">
        <v>51</v>
      </c>
      <c r="AL72" s="82"/>
      <c r="AM72" s="82"/>
      <c r="AN72" s="57"/>
      <c r="AO72" s="57"/>
      <c r="AP72" s="57"/>
      <c r="AQ72" s="57"/>
      <c r="AR72" s="57"/>
      <c r="AS72" s="57"/>
      <c r="AT72" s="57"/>
      <c r="AU72" s="67"/>
      <c r="AV72" s="68"/>
    </row>
    <row r="73" ht="29.25" customHeight="1">
      <c r="A73" s="70">
        <f>INT((ROW()-9)/2)+1</f>
        <v>33</v>
      </c>
      <c r="B73" s="70"/>
      <c r="C73" s="70"/>
      <c r="D73" s="70"/>
      <c r="E73" s="70"/>
      <c r="F73" s="70"/>
      <c r="G73" s="73"/>
      <c r="H73" s="73"/>
      <c r="I73" s="73"/>
      <c r="J73" s="73"/>
      <c r="K73" s="73"/>
      <c r="L73" s="73"/>
      <c r="M73" s="70"/>
      <c r="N73" s="73"/>
      <c r="O73" s="73"/>
      <c r="P73" s="70"/>
      <c r="Q73" s="70"/>
      <c r="R73" s="70"/>
      <c r="S73" s="74" t="str">
        <f>IF(C73="Nữ","Đội nữ 3 người",IF(C73="Nam","Đội nam 3 người",""))</f>
        <v/>
      </c>
      <c r="T73" s="77"/>
      <c r="U73" s="77"/>
      <c r="V73" s="77"/>
      <c r="W73" s="70"/>
      <c r="X73" s="70"/>
      <c r="Y73" s="81"/>
      <c r="Z73" s="81"/>
      <c r="AA73" s="81"/>
      <c r="AB73" s="81"/>
      <c r="AC73" s="81"/>
      <c r="AD73" s="81"/>
      <c r="AE73" s="73"/>
      <c r="AF73" s="73"/>
      <c r="AG73" s="77" t="s">
        <v>68</v>
      </c>
      <c r="AH73" s="82"/>
      <c r="AI73" s="82"/>
      <c r="AJ73" s="82"/>
      <c r="AK73" s="82"/>
      <c r="AL73" s="82"/>
      <c r="AM73" s="82"/>
      <c r="AN73" s="70" t="str">
        <f>IF(COUNTIF(T73:T74,"X")&gt;0,"VĐV","Khác")</f>
        <v>Khác</v>
      </c>
      <c r="AO73" s="79">
        <f t="array" ref="AO73">IFERROR(IF(AND(K73="Có",Q73="1 Kyu"),1000,IF(AND(K73="Không",Q73="1 Kyu"),2000,0)),"")+IFERROR(IFS(AND(K73="Có",R73="1 Dan"),1500,AND(K73="Không",R73="1 Dan"),2500,AND(K73="Có",R73="2 Dan"),2200,AND(K73="Không",R73="2 Dan"),4200,AND(K73="Có",R73="3 Dan"),3000,AND(K73="Không",R73="3 Dan"),5000,AND(K73="Có",R73="4 Dan"),4500,AND(K73="Không",R73="4 Dan"),6500,AND(K73="Có",R73="5 Dan"),6000,AND(K73="Không",R73="5 Dan"),8000),0)</f>
        <v>0</v>
      </c>
      <c r="AP73" s="80">
        <f t="array" ref="AP73">IFERROR(IFS(AND(COUNTIF(T73:T74,"X")=1,K73="Có",AB73="Phòng đơn"),1900,AND(COUNTIF(T73:T74,"X")=1,K73="Có",AB73="Phòng đôi"),1550,AND(COUNTIF(T73:T74,"X")=1,K73="Có",AB73="Phòng ba"),1450,AND(COUNTIF(T73:T74,"X")=2,K73="Có",AB73="Phòng đơn"),2200,AND(COUNTIF(T73:T74,"X")=2,K73="Có",AB73="Phòng đôi"),1850,AND(COUNTIF(T73:T74,"X")=2,K73="Có",AB73="Phòng ba"),1750,
AND(COUNTIF(T73:T74,"X")=1,K73="Không",AB73="Phòng đơn"),2400,AND(COUNTIF(T73:T74,"X")=1,K73="Không",AB73="Phòng đôi"),1950,AND(COUNTIF(T73:T74,"X")=1,K73="Không",AB73="Phòng ba"),1850,AND(COUNTIF(T73:T74,"X")=2,K73="Không",AB73="Phòng đơn"),2800,AND(COUNTIF(T73:T74,"X")=2,K73="Không",AB73="Phòng đôi"),2350,AND(COUNTIF(T73:T74,"X")=2,K73="Không",AB73="Phòng ba"),2250),0)</f>
        <v>0</v>
      </c>
      <c r="AQ73" s="80">
        <f>COUNTIF(Y73:AD74,"Phòng đơn")*700
+COUNTIF(Y73:AD74,"Phòng đôi")*350
+COUNTIF(Y73:AD74,"Phòng ba")*250
-IF(AND(COUNTIF(T73:T74,"X")&gt;0,AB73&lt;&gt;""),IF(AB73="Phòng đơn",700,IF(AB73="Phòng đôi",350,IF(AB73="Phòng ba",250,0))),0)</f>
        <v>0</v>
      </c>
      <c r="AR73" s="73">
        <f>COUNTIF(AH73:AM73,"X")*120
+COUNTIF(AH74:AM74,"X")*200
-COUNTIF(T73:T74,"X")*120
-IF(COUNTA(Q73:R74)&gt;0,120,0)</f>
        <v>0</v>
      </c>
      <c r="AS73" s="80">
        <f>IF(COUNTIF(T73:T74,"X")&gt;0,0,IF(AND(AF73="Có",COUNTIF(T73:T74,"X")=0),700,0))</f>
        <v>0</v>
      </c>
      <c r="AT73" s="80">
        <f>SUM(AO73:AS74)</f>
        <v>0</v>
      </c>
      <c r="AU73" s="67"/>
      <c r="AV73" s="68"/>
    </row>
    <row r="74" ht="29.25" customHeight="1">
      <c r="A74" s="57"/>
      <c r="B74" s="57"/>
      <c r="C74" s="57"/>
      <c r="D74" s="57"/>
      <c r="E74" s="57"/>
      <c r="F74" s="57"/>
      <c r="G74" s="57"/>
      <c r="H74" s="57"/>
      <c r="I74" s="57"/>
      <c r="J74" s="57"/>
      <c r="K74" s="57"/>
      <c r="L74" s="57"/>
      <c r="M74" s="57"/>
      <c r="N74" s="57"/>
      <c r="O74" s="57"/>
      <c r="P74" s="57"/>
      <c r="Q74" s="57"/>
      <c r="R74" s="57"/>
      <c r="S74" s="74" t="str">
        <f>IF(C73="Nữ","Đội nữ 5 người",IF(C73="Nam","Đội nam 5 người",""))</f>
        <v/>
      </c>
      <c r="T74" s="77"/>
      <c r="U74" s="77"/>
      <c r="V74" s="77"/>
      <c r="W74" s="57"/>
      <c r="X74" s="57"/>
      <c r="Y74" s="57"/>
      <c r="Z74" s="57"/>
      <c r="AA74" s="57"/>
      <c r="AB74" s="57"/>
      <c r="AC74" s="57"/>
      <c r="AD74" s="57"/>
      <c r="AE74" s="57"/>
      <c r="AF74" s="57"/>
      <c r="AG74" s="77" t="s">
        <v>71</v>
      </c>
      <c r="AH74" s="82"/>
      <c r="AI74" s="82"/>
      <c r="AJ74" s="82"/>
      <c r="AK74" s="69" t="s">
        <v>51</v>
      </c>
      <c r="AL74" s="82"/>
      <c r="AM74" s="82"/>
      <c r="AN74" s="57"/>
      <c r="AO74" s="57"/>
      <c r="AP74" s="57"/>
      <c r="AQ74" s="57"/>
      <c r="AR74" s="57"/>
      <c r="AS74" s="57"/>
      <c r="AT74" s="57"/>
      <c r="AU74" s="67"/>
      <c r="AV74" s="68"/>
    </row>
    <row r="75" ht="29.25" customHeight="1">
      <c r="A75" s="70">
        <f>INT((ROW()-9)/2)+1</f>
        <v>34</v>
      </c>
      <c r="B75" s="70"/>
      <c r="C75" s="70"/>
      <c r="D75" s="70"/>
      <c r="E75" s="70"/>
      <c r="F75" s="70"/>
      <c r="G75" s="73"/>
      <c r="H75" s="73"/>
      <c r="I75" s="73"/>
      <c r="J75" s="73"/>
      <c r="K75" s="73"/>
      <c r="L75" s="73"/>
      <c r="M75" s="70"/>
      <c r="N75" s="73"/>
      <c r="O75" s="73"/>
      <c r="P75" s="70"/>
      <c r="Q75" s="70"/>
      <c r="R75" s="70"/>
      <c r="S75" s="74" t="str">
        <f>IF(C75="Nữ","Đội nữ 3 người",IF(C75="Nam","Đội nam 3 người",""))</f>
        <v/>
      </c>
      <c r="T75" s="77"/>
      <c r="U75" s="77"/>
      <c r="V75" s="77"/>
      <c r="W75" s="70"/>
      <c r="X75" s="70"/>
      <c r="Y75" s="81"/>
      <c r="Z75" s="81"/>
      <c r="AA75" s="81"/>
      <c r="AB75" s="81"/>
      <c r="AC75" s="81"/>
      <c r="AD75" s="81"/>
      <c r="AE75" s="73"/>
      <c r="AF75" s="73"/>
      <c r="AG75" s="77" t="s">
        <v>68</v>
      </c>
      <c r="AH75" s="82"/>
      <c r="AI75" s="82"/>
      <c r="AJ75" s="82"/>
      <c r="AK75" s="82"/>
      <c r="AL75" s="82"/>
      <c r="AM75" s="82"/>
      <c r="AN75" s="70" t="str">
        <f>IF(COUNTIF(T75:T76,"X")&gt;0,"VĐV","Khác")</f>
        <v>Khác</v>
      </c>
      <c r="AO75" s="79">
        <f t="array" ref="AO75">IFERROR(IF(AND(K75="Có",Q75="1 Kyu"),1000,IF(AND(K75="Không",Q75="1 Kyu"),2000,0)),"")+IFERROR(IFS(AND(K75="Có",R75="1 Dan"),1500,AND(K75="Không",R75="1 Dan"),2500,AND(K75="Có",R75="2 Dan"),2200,AND(K75="Không",R75="2 Dan"),4200,AND(K75="Có",R75="3 Dan"),3000,AND(K75="Không",R75="3 Dan"),5000,AND(K75="Có",R75="4 Dan"),4500,AND(K75="Không",R75="4 Dan"),6500,AND(K75="Có",R75="5 Dan"),6000,AND(K75="Không",R75="5 Dan"),8000),0)</f>
        <v>0</v>
      </c>
      <c r="AP75" s="80">
        <f t="array" ref="AP75">IFERROR(IFS(AND(COUNTIF(T75:T76,"X")=1,K75="Có",AB75="Phòng đơn"),1900,AND(COUNTIF(T75:T76,"X")=1,K75="Có",AB75="Phòng đôi"),1550,AND(COUNTIF(T75:T76,"X")=1,K75="Có",AB75="Phòng ba"),1450,AND(COUNTIF(T75:T76,"X")=2,K75="Có",AB75="Phòng đơn"),2200,AND(COUNTIF(T75:T76,"X")=2,K75="Có",AB75="Phòng đôi"),1850,AND(COUNTIF(T75:T76,"X")=2,K75="Có",AB75="Phòng ba"),1750,
AND(COUNTIF(T75:T76,"X")=1,K75="Không",AB75="Phòng đơn"),2400,AND(COUNTIF(T75:T76,"X")=1,K75="Không",AB75="Phòng đôi"),1950,AND(COUNTIF(T75:T76,"X")=1,K75="Không",AB75="Phòng ba"),1850,AND(COUNTIF(T75:T76,"X")=2,K75="Không",AB75="Phòng đơn"),2800,AND(COUNTIF(T75:T76,"X")=2,K75="Không",AB75="Phòng đôi"),2350,AND(COUNTIF(T75:T76,"X")=2,K75="Không",AB75="Phòng ba"),2250),0)</f>
        <v>0</v>
      </c>
      <c r="AQ75" s="80">
        <f>COUNTIF(Y75:AD76,"Phòng đơn")*700
+COUNTIF(Y75:AD76,"Phòng đôi")*350
+COUNTIF(Y75:AD76,"Phòng ba")*250
-IF(AND(COUNTIF(T75:T76,"X")&gt;0,AB75&lt;&gt;""),IF(AB75="Phòng đơn",700,IF(AB75="Phòng đôi",350,IF(AB75="Phòng ba",250,0))),0)</f>
        <v>0</v>
      </c>
      <c r="AR75" s="73">
        <f>COUNTIF(AH75:AM75,"X")*120
+COUNTIF(AH76:AM76,"X")*200
-COUNTIF(T75:T76,"X")*120
-IF(COUNTA(Q75:R76)&gt;0,120,0)</f>
        <v>0</v>
      </c>
      <c r="AS75" s="80">
        <f>IF(COUNTIF(T75:T76,"X")&gt;0,0,IF(AND(AF75="Có",COUNTIF(T75:T76,"X")=0),700,0))</f>
        <v>0</v>
      </c>
      <c r="AT75" s="80">
        <f>SUM(AO75:AS76)</f>
        <v>0</v>
      </c>
      <c r="AU75" s="67"/>
      <c r="AV75" s="68"/>
    </row>
    <row r="76" ht="29.25" customHeight="1">
      <c r="A76" s="57"/>
      <c r="B76" s="57"/>
      <c r="C76" s="57"/>
      <c r="D76" s="57"/>
      <c r="E76" s="57"/>
      <c r="F76" s="57"/>
      <c r="G76" s="57"/>
      <c r="H76" s="57"/>
      <c r="I76" s="57"/>
      <c r="J76" s="57"/>
      <c r="K76" s="57"/>
      <c r="L76" s="57"/>
      <c r="M76" s="57"/>
      <c r="N76" s="57"/>
      <c r="O76" s="57"/>
      <c r="P76" s="57"/>
      <c r="Q76" s="57"/>
      <c r="R76" s="57"/>
      <c r="S76" s="74" t="str">
        <f>IF(C75="Nữ","Đội nữ 5 người",IF(C75="Nam","Đội nam 5 người",""))</f>
        <v/>
      </c>
      <c r="T76" s="77"/>
      <c r="U76" s="77"/>
      <c r="V76" s="77"/>
      <c r="W76" s="57"/>
      <c r="X76" s="57"/>
      <c r="Y76" s="57"/>
      <c r="Z76" s="57"/>
      <c r="AA76" s="57"/>
      <c r="AB76" s="57"/>
      <c r="AC76" s="57"/>
      <c r="AD76" s="57"/>
      <c r="AE76" s="57"/>
      <c r="AF76" s="57"/>
      <c r="AG76" s="77" t="s">
        <v>71</v>
      </c>
      <c r="AH76" s="82"/>
      <c r="AI76" s="82"/>
      <c r="AJ76" s="82"/>
      <c r="AK76" s="69" t="s">
        <v>51</v>
      </c>
      <c r="AL76" s="82"/>
      <c r="AM76" s="82"/>
      <c r="AN76" s="57"/>
      <c r="AO76" s="57"/>
      <c r="AP76" s="57"/>
      <c r="AQ76" s="57"/>
      <c r="AR76" s="57"/>
      <c r="AS76" s="57"/>
      <c r="AT76" s="57"/>
      <c r="AU76" s="67"/>
      <c r="AV76" s="68"/>
    </row>
    <row r="77" ht="29.25" customHeight="1">
      <c r="A77" s="70">
        <f>INT((ROW()-9)/2)+1</f>
        <v>35</v>
      </c>
      <c r="B77" s="70"/>
      <c r="C77" s="70"/>
      <c r="D77" s="70"/>
      <c r="E77" s="70"/>
      <c r="F77" s="70"/>
      <c r="G77" s="73"/>
      <c r="H77" s="73"/>
      <c r="I77" s="73"/>
      <c r="J77" s="73"/>
      <c r="K77" s="73"/>
      <c r="L77" s="73"/>
      <c r="M77" s="70"/>
      <c r="N77" s="73"/>
      <c r="O77" s="73"/>
      <c r="P77" s="70"/>
      <c r="Q77" s="70"/>
      <c r="R77" s="70"/>
      <c r="S77" s="74" t="str">
        <f>IF(C77="Nữ","Đội nữ 3 người",IF(C77="Nam","Đội nam 3 người",""))</f>
        <v/>
      </c>
      <c r="T77" s="77"/>
      <c r="U77" s="77"/>
      <c r="V77" s="77"/>
      <c r="W77" s="70"/>
      <c r="X77" s="70"/>
      <c r="Y77" s="81"/>
      <c r="Z77" s="81"/>
      <c r="AA77" s="81"/>
      <c r="AB77" s="81"/>
      <c r="AC77" s="81"/>
      <c r="AD77" s="81"/>
      <c r="AE77" s="73"/>
      <c r="AF77" s="73"/>
      <c r="AG77" s="77" t="s">
        <v>68</v>
      </c>
      <c r="AH77" s="82"/>
      <c r="AI77" s="82"/>
      <c r="AJ77" s="82"/>
      <c r="AK77" s="82"/>
      <c r="AL77" s="82"/>
      <c r="AM77" s="82"/>
      <c r="AN77" s="70" t="str">
        <f>IF(COUNTIF(T77:T78,"X")&gt;0,"VĐV","Khác")</f>
        <v>Khác</v>
      </c>
      <c r="AO77" s="79">
        <f t="array" ref="AO77">IFERROR(IF(AND(K77="Có",Q77="1 Kyu"),1000,IF(AND(K77="Không",Q77="1 Kyu"),2000,0)),"")+IFERROR(IFS(AND(K77="Có",R77="1 Dan"),1500,AND(K77="Không",R77="1 Dan"),2500,AND(K77="Có",R77="2 Dan"),2200,AND(K77="Không",R77="2 Dan"),4200,AND(K77="Có",R77="3 Dan"),3000,AND(K77="Không",R77="3 Dan"),5000,AND(K77="Có",R77="4 Dan"),4500,AND(K77="Không",R77="4 Dan"),6500,AND(K77="Có",R77="5 Dan"),6000,AND(K77="Không",R77="5 Dan"),8000),0)</f>
        <v>0</v>
      </c>
      <c r="AP77" s="80">
        <f t="array" ref="AP77">IFERROR(IFS(AND(COUNTIF(T77:T78,"X")=1,K77="Có",AB77="Phòng đơn"),1900,AND(COUNTIF(T77:T78,"X")=1,K77="Có",AB77="Phòng đôi"),1550,AND(COUNTIF(T77:T78,"X")=1,K77="Có",AB77="Phòng ba"),1450,AND(COUNTIF(T77:T78,"X")=2,K77="Có",AB77="Phòng đơn"),2200,AND(COUNTIF(T77:T78,"X")=2,K77="Có",AB77="Phòng đôi"),1850,AND(COUNTIF(T77:T78,"X")=2,K77="Có",AB77="Phòng ba"),1750,
AND(COUNTIF(T77:T78,"X")=1,K77="Không",AB77="Phòng đơn"),2400,AND(COUNTIF(T77:T78,"X")=1,K77="Không",AB77="Phòng đôi"),1950,AND(COUNTIF(T77:T78,"X")=1,K77="Không",AB77="Phòng ba"),1850,AND(COUNTIF(T77:T78,"X")=2,K77="Không",AB77="Phòng đơn"),2800,AND(COUNTIF(T77:T78,"X")=2,K77="Không",AB77="Phòng đôi"),2350,AND(COUNTIF(T77:T78,"X")=2,K77="Không",AB77="Phòng ba"),2250),0)</f>
        <v>0</v>
      </c>
      <c r="AQ77" s="80">
        <f>COUNTIF(Y77:AD78,"Phòng đơn")*700
+COUNTIF(Y77:AD78,"Phòng đôi")*350
+COUNTIF(Y77:AD78,"Phòng ba")*250
-IF(AND(COUNTIF(T77:T78,"X")&gt;0,AB77&lt;&gt;""),IF(AB77="Phòng đơn",700,IF(AB77="Phòng đôi",350,IF(AB77="Phòng ba",250,0))),0)</f>
        <v>0</v>
      </c>
      <c r="AR77" s="73">
        <f>COUNTIF(AH77:AM77,"X")*120
+COUNTIF(AH78:AM78,"X")*200
-COUNTIF(T77:T78,"X")*120
-IF(COUNTA(Q77:R78)&gt;0,120,0)</f>
        <v>0</v>
      </c>
      <c r="AS77" s="80">
        <f>IF(COUNTIF(T77:T78,"X")&gt;0,0,IF(AND(AF77="Có",COUNTIF(T77:T78,"X")=0),700,0))</f>
        <v>0</v>
      </c>
      <c r="AT77" s="80">
        <f>SUM(AO77:AS78)</f>
        <v>0</v>
      </c>
      <c r="AU77" s="67"/>
      <c r="AV77" s="68"/>
    </row>
    <row r="78" ht="29.25" customHeight="1">
      <c r="A78" s="57"/>
      <c r="B78" s="57"/>
      <c r="C78" s="57"/>
      <c r="D78" s="57"/>
      <c r="E78" s="57"/>
      <c r="F78" s="57"/>
      <c r="G78" s="57"/>
      <c r="H78" s="57"/>
      <c r="I78" s="57"/>
      <c r="J78" s="57"/>
      <c r="K78" s="57"/>
      <c r="L78" s="57"/>
      <c r="M78" s="57"/>
      <c r="N78" s="57"/>
      <c r="O78" s="57"/>
      <c r="P78" s="57"/>
      <c r="Q78" s="57"/>
      <c r="R78" s="57"/>
      <c r="S78" s="74" t="str">
        <f>IF(C77="Nữ","Đội nữ 5 người",IF(C77="Nam","Đội nam 5 người",""))</f>
        <v/>
      </c>
      <c r="T78" s="77"/>
      <c r="U78" s="77"/>
      <c r="V78" s="77"/>
      <c r="W78" s="57"/>
      <c r="X78" s="57"/>
      <c r="Y78" s="57"/>
      <c r="Z78" s="57"/>
      <c r="AA78" s="57"/>
      <c r="AB78" s="57"/>
      <c r="AC78" s="57"/>
      <c r="AD78" s="57"/>
      <c r="AE78" s="57"/>
      <c r="AF78" s="57"/>
      <c r="AG78" s="77" t="s">
        <v>71</v>
      </c>
      <c r="AH78" s="82"/>
      <c r="AI78" s="82"/>
      <c r="AJ78" s="82"/>
      <c r="AK78" s="69" t="s">
        <v>51</v>
      </c>
      <c r="AL78" s="82"/>
      <c r="AM78" s="82"/>
      <c r="AN78" s="57"/>
      <c r="AO78" s="57"/>
      <c r="AP78" s="57"/>
      <c r="AQ78" s="57"/>
      <c r="AR78" s="57"/>
      <c r="AS78" s="57"/>
      <c r="AT78" s="57"/>
      <c r="AU78" s="67"/>
      <c r="AV78" s="68"/>
    </row>
    <row r="79" ht="29.25" customHeight="1">
      <c r="A79" s="70">
        <f>INT((ROW()-9)/2)+1</f>
        <v>36</v>
      </c>
      <c r="B79" s="70"/>
      <c r="C79" s="70"/>
      <c r="D79" s="70"/>
      <c r="E79" s="70"/>
      <c r="F79" s="70"/>
      <c r="G79" s="73"/>
      <c r="H79" s="73"/>
      <c r="I79" s="73"/>
      <c r="J79" s="73"/>
      <c r="K79" s="73"/>
      <c r="L79" s="73"/>
      <c r="M79" s="70"/>
      <c r="N79" s="73"/>
      <c r="O79" s="73"/>
      <c r="P79" s="70"/>
      <c r="Q79" s="70"/>
      <c r="R79" s="70"/>
      <c r="S79" s="74" t="str">
        <f>IF(C79="Nữ","Đội nữ 3 người",IF(C79="Nam","Đội nam 3 người",""))</f>
        <v/>
      </c>
      <c r="T79" s="77"/>
      <c r="U79" s="77"/>
      <c r="V79" s="77"/>
      <c r="W79" s="70"/>
      <c r="X79" s="70"/>
      <c r="Y79" s="81"/>
      <c r="Z79" s="81"/>
      <c r="AA79" s="81"/>
      <c r="AB79" s="81"/>
      <c r="AC79" s="81"/>
      <c r="AD79" s="81"/>
      <c r="AE79" s="73"/>
      <c r="AF79" s="73"/>
      <c r="AG79" s="77" t="s">
        <v>68</v>
      </c>
      <c r="AH79" s="82"/>
      <c r="AI79" s="82"/>
      <c r="AJ79" s="82"/>
      <c r="AK79" s="82"/>
      <c r="AL79" s="82"/>
      <c r="AM79" s="82"/>
      <c r="AN79" s="70" t="str">
        <f>IF(COUNTIF(T79:T80,"X")&gt;0,"VĐV","Khác")</f>
        <v>Khác</v>
      </c>
      <c r="AO79" s="79">
        <f t="array" ref="AO79">IFERROR(IF(AND(K79="Có",Q79="1 Kyu"),1000,IF(AND(K79="Không",Q79="1 Kyu"),2000,0)),"")+IFERROR(IFS(AND(K79="Có",R79="1 Dan"),1500,AND(K79="Không",R79="1 Dan"),2500,AND(K79="Có",R79="2 Dan"),2200,AND(K79="Không",R79="2 Dan"),4200,AND(K79="Có",R79="3 Dan"),3000,AND(K79="Không",R79="3 Dan"),5000,AND(K79="Có",R79="4 Dan"),4500,AND(K79="Không",R79="4 Dan"),6500,AND(K79="Có",R79="5 Dan"),6000,AND(K79="Không",R79="5 Dan"),8000),0)</f>
        <v>0</v>
      </c>
      <c r="AP79" s="80">
        <f t="array" ref="AP79">IFERROR(IFS(AND(COUNTIF(T79:T80,"X")=1,K79="Có",AB79="Phòng đơn"),1900,AND(COUNTIF(T79:T80,"X")=1,K79="Có",AB79="Phòng đôi"),1550,AND(COUNTIF(T79:T80,"X")=1,K79="Có",AB79="Phòng ba"),1450,AND(COUNTIF(T79:T80,"X")=2,K79="Có",AB79="Phòng đơn"),2200,AND(COUNTIF(T79:T80,"X")=2,K79="Có",AB79="Phòng đôi"),1850,AND(COUNTIF(T79:T80,"X")=2,K79="Có",AB79="Phòng ba"),1750,
AND(COUNTIF(T79:T80,"X")=1,K79="Không",AB79="Phòng đơn"),2400,AND(COUNTIF(T79:T80,"X")=1,K79="Không",AB79="Phòng đôi"),1950,AND(COUNTIF(T79:T80,"X")=1,K79="Không",AB79="Phòng ba"),1850,AND(COUNTIF(T79:T80,"X")=2,K79="Không",AB79="Phòng đơn"),2800,AND(COUNTIF(T79:T80,"X")=2,K79="Không",AB79="Phòng đôi"),2350,AND(COUNTIF(T79:T80,"X")=2,K79="Không",AB79="Phòng ba"),2250),0)</f>
        <v>0</v>
      </c>
      <c r="AQ79" s="80">
        <f>COUNTIF(Y79:AD80,"Phòng đơn")*700
+COUNTIF(Y79:AD80,"Phòng đôi")*350
+COUNTIF(Y79:AD80,"Phòng ba")*250
-IF(AND(COUNTIF(T79:T80,"X")&gt;0,AB79&lt;&gt;""),IF(AB79="Phòng đơn",700,IF(AB79="Phòng đôi",350,IF(AB79="Phòng ba",250,0))),0)</f>
        <v>0</v>
      </c>
      <c r="AR79" s="73">
        <f>COUNTIF(AH79:AM79,"X")*120
+COUNTIF(AH80:AM80,"X")*200
-COUNTIF(T79:T80,"X")*120
-IF(COUNTA(Q79:R80)&gt;0,120,0)</f>
        <v>0</v>
      </c>
      <c r="AS79" s="80">
        <f>IF(COUNTIF(T79:T80,"X")&gt;0,0,IF(AND(AF79="Có",COUNTIF(T79:T80,"X")=0),700,0))</f>
        <v>0</v>
      </c>
      <c r="AT79" s="80">
        <f>SUM(AO79:AS80)</f>
        <v>0</v>
      </c>
      <c r="AU79" s="67"/>
      <c r="AV79" s="68"/>
    </row>
    <row r="80" ht="29.25" customHeight="1">
      <c r="A80" s="57"/>
      <c r="B80" s="57"/>
      <c r="C80" s="57"/>
      <c r="D80" s="57"/>
      <c r="E80" s="57"/>
      <c r="F80" s="57"/>
      <c r="G80" s="57"/>
      <c r="H80" s="57"/>
      <c r="I80" s="57"/>
      <c r="J80" s="57"/>
      <c r="K80" s="57"/>
      <c r="L80" s="57"/>
      <c r="M80" s="57"/>
      <c r="N80" s="57"/>
      <c r="O80" s="57"/>
      <c r="P80" s="57"/>
      <c r="Q80" s="57"/>
      <c r="R80" s="57"/>
      <c r="S80" s="74" t="str">
        <f>IF(C79="Nữ","Đội nữ 5 người",IF(C79="Nam","Đội nam 5 người",""))</f>
        <v/>
      </c>
      <c r="T80" s="77"/>
      <c r="U80" s="77"/>
      <c r="V80" s="77"/>
      <c r="W80" s="57"/>
      <c r="X80" s="57"/>
      <c r="Y80" s="57"/>
      <c r="Z80" s="57"/>
      <c r="AA80" s="57"/>
      <c r="AB80" s="57"/>
      <c r="AC80" s="57"/>
      <c r="AD80" s="57"/>
      <c r="AE80" s="57"/>
      <c r="AF80" s="57"/>
      <c r="AG80" s="77" t="s">
        <v>71</v>
      </c>
      <c r="AH80" s="82"/>
      <c r="AI80" s="82"/>
      <c r="AJ80" s="82"/>
      <c r="AK80" s="69" t="s">
        <v>51</v>
      </c>
      <c r="AL80" s="82"/>
      <c r="AM80" s="82"/>
      <c r="AN80" s="57"/>
      <c r="AO80" s="57"/>
      <c r="AP80" s="57"/>
      <c r="AQ80" s="57"/>
      <c r="AR80" s="57"/>
      <c r="AS80" s="57"/>
      <c r="AT80" s="57"/>
      <c r="AU80" s="67"/>
      <c r="AV80" s="68"/>
    </row>
    <row r="81" ht="29.25" customHeight="1">
      <c r="A81" s="70">
        <f>INT((ROW()-9)/2)+1</f>
        <v>37</v>
      </c>
      <c r="B81" s="70"/>
      <c r="C81" s="70"/>
      <c r="D81" s="70"/>
      <c r="E81" s="70"/>
      <c r="F81" s="70"/>
      <c r="G81" s="73"/>
      <c r="H81" s="73"/>
      <c r="I81" s="73"/>
      <c r="J81" s="73"/>
      <c r="K81" s="73"/>
      <c r="L81" s="73"/>
      <c r="M81" s="70"/>
      <c r="N81" s="73"/>
      <c r="O81" s="73"/>
      <c r="P81" s="70"/>
      <c r="Q81" s="70"/>
      <c r="R81" s="70"/>
      <c r="S81" s="74" t="str">
        <f>IF(C81="Nữ","Đội nữ 3 người",IF(C81="Nam","Đội nam 3 người",""))</f>
        <v/>
      </c>
      <c r="T81" s="77"/>
      <c r="U81" s="77"/>
      <c r="V81" s="77"/>
      <c r="W81" s="70"/>
      <c r="X81" s="70"/>
      <c r="Y81" s="81"/>
      <c r="Z81" s="81"/>
      <c r="AA81" s="81"/>
      <c r="AB81" s="81"/>
      <c r="AC81" s="81"/>
      <c r="AD81" s="81"/>
      <c r="AE81" s="73"/>
      <c r="AF81" s="73"/>
      <c r="AG81" s="77" t="s">
        <v>68</v>
      </c>
      <c r="AH81" s="82"/>
      <c r="AI81" s="82"/>
      <c r="AJ81" s="82"/>
      <c r="AK81" s="82"/>
      <c r="AL81" s="82"/>
      <c r="AM81" s="82"/>
      <c r="AN81" s="70" t="str">
        <f>IF(COUNTIF(T81:T82,"X")&gt;0,"VĐV","Khác")</f>
        <v>Khác</v>
      </c>
      <c r="AO81" s="79">
        <f t="array" ref="AO81">IFERROR(IF(AND(K81="Có",Q81="1 Kyu"),1000,IF(AND(K81="Không",Q81="1 Kyu"),2000,0)),"")+IFERROR(IFS(AND(K81="Có",R81="1 Dan"),1500,AND(K81="Không",R81="1 Dan"),2500,AND(K81="Có",R81="2 Dan"),2200,AND(K81="Không",R81="2 Dan"),4200,AND(K81="Có",R81="3 Dan"),3000,AND(K81="Không",R81="3 Dan"),5000,AND(K81="Có",R81="4 Dan"),4500,AND(K81="Không",R81="4 Dan"),6500,AND(K81="Có",R81="5 Dan"),6000,AND(K81="Không",R81="5 Dan"),8000),0)</f>
        <v>0</v>
      </c>
      <c r="AP81" s="80">
        <f t="array" ref="AP81">IFERROR(IFS(AND(COUNTIF(T81:T82,"X")=1,K81="Có",AB81="Phòng đơn"),1900,AND(COUNTIF(T81:T82,"X")=1,K81="Có",AB81="Phòng đôi"),1550,AND(COUNTIF(T81:T82,"X")=1,K81="Có",AB81="Phòng ba"),1450,AND(COUNTIF(T81:T82,"X")=2,K81="Có",AB81="Phòng đơn"),2200,AND(COUNTIF(T81:T82,"X")=2,K81="Có",AB81="Phòng đôi"),1850,AND(COUNTIF(T81:T82,"X")=2,K81="Có",AB81="Phòng ba"),1750,
AND(COUNTIF(T81:T82,"X")=1,K81="Không",AB81="Phòng đơn"),2400,AND(COUNTIF(T81:T82,"X")=1,K81="Không",AB81="Phòng đôi"),1950,AND(COUNTIF(T81:T82,"X")=1,K81="Không",AB81="Phòng ba"),1850,AND(COUNTIF(T81:T82,"X")=2,K81="Không",AB81="Phòng đơn"),2800,AND(COUNTIF(T81:T82,"X")=2,K81="Không",AB81="Phòng đôi"),2350,AND(COUNTIF(T81:T82,"X")=2,K81="Không",AB81="Phòng ba"),2250),0)</f>
        <v>0</v>
      </c>
      <c r="AQ81" s="80">
        <f>COUNTIF(Y81:AD82,"Phòng đơn")*700
+COUNTIF(Y81:AD82,"Phòng đôi")*350
+COUNTIF(Y81:AD82,"Phòng ba")*250
-IF(AND(COUNTIF(T81:T82,"X")&gt;0,AB81&lt;&gt;""),IF(AB81="Phòng đơn",700,IF(AB81="Phòng đôi",350,IF(AB81="Phòng ba",250,0))),0)</f>
        <v>0</v>
      </c>
      <c r="AR81" s="73">
        <f>COUNTIF(AH81:AM81,"X")*120
+COUNTIF(AH82:AM82,"X")*200
-COUNTIF(T81:T82,"X")*120
-IF(COUNTA(Q81:R82)&gt;0,120,0)</f>
        <v>0</v>
      </c>
      <c r="AS81" s="80">
        <f>IF(COUNTIF(T81:T82,"X")&gt;0,0,IF(AND(AF81="Có",COUNTIF(T81:T82,"X")=0),700,0))</f>
        <v>0</v>
      </c>
      <c r="AT81" s="80">
        <f>SUM(AO81:AS82)</f>
        <v>0</v>
      </c>
      <c r="AU81" s="67"/>
      <c r="AV81" s="68"/>
    </row>
    <row r="82" ht="29.25" customHeight="1">
      <c r="A82" s="57"/>
      <c r="B82" s="57"/>
      <c r="C82" s="57"/>
      <c r="D82" s="57"/>
      <c r="E82" s="57"/>
      <c r="F82" s="57"/>
      <c r="G82" s="57"/>
      <c r="H82" s="57"/>
      <c r="I82" s="57"/>
      <c r="J82" s="57"/>
      <c r="K82" s="57"/>
      <c r="L82" s="57"/>
      <c r="M82" s="57"/>
      <c r="N82" s="57"/>
      <c r="O82" s="57"/>
      <c r="P82" s="57"/>
      <c r="Q82" s="57"/>
      <c r="R82" s="57"/>
      <c r="S82" s="74" t="str">
        <f>IF(C81="Nữ","Đội nữ 5 người",IF(C81="Nam","Đội nam 5 người",""))</f>
        <v/>
      </c>
      <c r="T82" s="77"/>
      <c r="U82" s="77"/>
      <c r="V82" s="77"/>
      <c r="W82" s="57"/>
      <c r="X82" s="57"/>
      <c r="Y82" s="57"/>
      <c r="Z82" s="57"/>
      <c r="AA82" s="57"/>
      <c r="AB82" s="57"/>
      <c r="AC82" s="57"/>
      <c r="AD82" s="57"/>
      <c r="AE82" s="57"/>
      <c r="AF82" s="57"/>
      <c r="AG82" s="77" t="s">
        <v>71</v>
      </c>
      <c r="AH82" s="82"/>
      <c r="AI82" s="82"/>
      <c r="AJ82" s="82"/>
      <c r="AK82" s="69" t="s">
        <v>51</v>
      </c>
      <c r="AL82" s="82"/>
      <c r="AM82" s="82"/>
      <c r="AN82" s="57"/>
      <c r="AO82" s="57"/>
      <c r="AP82" s="57"/>
      <c r="AQ82" s="57"/>
      <c r="AR82" s="57"/>
      <c r="AS82" s="57"/>
      <c r="AT82" s="57"/>
      <c r="AU82" s="67"/>
      <c r="AV82" s="68"/>
    </row>
    <row r="83" ht="29.25" customHeight="1">
      <c r="A83" s="70">
        <f>INT((ROW()-9)/2)+1</f>
        <v>38</v>
      </c>
      <c r="B83" s="70"/>
      <c r="C83" s="70"/>
      <c r="D83" s="70"/>
      <c r="E83" s="70"/>
      <c r="F83" s="70"/>
      <c r="G83" s="73"/>
      <c r="H83" s="73"/>
      <c r="I83" s="73"/>
      <c r="J83" s="73"/>
      <c r="K83" s="73"/>
      <c r="L83" s="73"/>
      <c r="M83" s="70"/>
      <c r="N83" s="73"/>
      <c r="O83" s="73"/>
      <c r="P83" s="70"/>
      <c r="Q83" s="70"/>
      <c r="R83" s="70"/>
      <c r="S83" s="74" t="str">
        <f>IF(C83="Nữ","Đội nữ 3 người",IF(C83="Nam","Đội nam 3 người",""))</f>
        <v/>
      </c>
      <c r="T83" s="77"/>
      <c r="U83" s="77"/>
      <c r="V83" s="77"/>
      <c r="W83" s="70"/>
      <c r="X83" s="70"/>
      <c r="Y83" s="81"/>
      <c r="Z83" s="81"/>
      <c r="AA83" s="81"/>
      <c r="AB83" s="81"/>
      <c r="AC83" s="81"/>
      <c r="AD83" s="81"/>
      <c r="AE83" s="73"/>
      <c r="AF83" s="73"/>
      <c r="AG83" s="77" t="s">
        <v>68</v>
      </c>
      <c r="AH83" s="82"/>
      <c r="AI83" s="82"/>
      <c r="AJ83" s="82"/>
      <c r="AK83" s="82"/>
      <c r="AL83" s="82"/>
      <c r="AM83" s="82"/>
      <c r="AN83" s="70" t="str">
        <f>IF(COUNTIF(T83:T84,"X")&gt;0,"VĐV","Khác")</f>
        <v>Khác</v>
      </c>
      <c r="AO83" s="79">
        <f t="array" ref="AO83">IFERROR(IF(AND(K83="Có",Q83="1 Kyu"),1000,IF(AND(K83="Không",Q83="1 Kyu"),2000,0)),"")+IFERROR(IFS(AND(K83="Có",R83="1 Dan"),1500,AND(K83="Không",R83="1 Dan"),2500,AND(K83="Có",R83="2 Dan"),2200,AND(K83="Không",R83="2 Dan"),4200,AND(K83="Có",R83="3 Dan"),3000,AND(K83="Không",R83="3 Dan"),5000,AND(K83="Có",R83="4 Dan"),4500,AND(K83="Không",R83="4 Dan"),6500,AND(K83="Có",R83="5 Dan"),6000,AND(K83="Không",R83="5 Dan"),8000),0)</f>
        <v>0</v>
      </c>
      <c r="AP83" s="80">
        <f t="array" ref="AP83">IFERROR(IFS(AND(COUNTIF(T83:T84,"X")=1,K83="Có",AB83="Phòng đơn"),1900,AND(COUNTIF(T83:T84,"X")=1,K83="Có",AB83="Phòng đôi"),1550,AND(COUNTIF(T83:T84,"X")=1,K83="Có",AB83="Phòng ba"),1450,AND(COUNTIF(T83:T84,"X")=2,K83="Có",AB83="Phòng đơn"),2200,AND(COUNTIF(T83:T84,"X")=2,K83="Có",AB83="Phòng đôi"),1850,AND(COUNTIF(T83:T84,"X")=2,K83="Có",AB83="Phòng ba"),1750,
AND(COUNTIF(T83:T84,"X")=1,K83="Không",AB83="Phòng đơn"),2400,AND(COUNTIF(T83:T84,"X")=1,K83="Không",AB83="Phòng đôi"),1950,AND(COUNTIF(T83:T84,"X")=1,K83="Không",AB83="Phòng ba"),1850,AND(COUNTIF(T83:T84,"X")=2,K83="Không",AB83="Phòng đơn"),2800,AND(COUNTIF(T83:T84,"X")=2,K83="Không",AB83="Phòng đôi"),2350,AND(COUNTIF(T83:T84,"X")=2,K83="Không",AB83="Phòng ba"),2250),0)</f>
        <v>0</v>
      </c>
      <c r="AQ83" s="80">
        <f>COUNTIF(Y83:AD84,"Phòng đơn")*700
+COUNTIF(Y83:AD84,"Phòng đôi")*350
+COUNTIF(Y83:AD84,"Phòng ba")*250
-IF(AND(COUNTIF(T83:T84,"X")&gt;0,AB83&lt;&gt;""),IF(AB83="Phòng đơn",700,IF(AB83="Phòng đôi",350,IF(AB83="Phòng ba",250,0))),0)</f>
        <v>0</v>
      </c>
      <c r="AR83" s="73">
        <f>COUNTIF(AH83:AM83,"X")*120
+COUNTIF(AH84:AM84,"X")*200
-COUNTIF(T83:T84,"X")*120
-IF(COUNTA(Q83:R84)&gt;0,120,0)</f>
        <v>0</v>
      </c>
      <c r="AS83" s="80">
        <f>IF(COUNTIF(T83:T84,"X")&gt;0,0,IF(AND(AF83="Có",COUNTIF(T83:T84,"X")=0),700,0))</f>
        <v>0</v>
      </c>
      <c r="AT83" s="80">
        <f>SUM(AO83:AS84)</f>
        <v>0</v>
      </c>
      <c r="AU83" s="67"/>
      <c r="AV83" s="68"/>
    </row>
    <row r="84" ht="29.25" customHeight="1">
      <c r="A84" s="57"/>
      <c r="B84" s="57"/>
      <c r="C84" s="57"/>
      <c r="D84" s="57"/>
      <c r="E84" s="57"/>
      <c r="F84" s="57"/>
      <c r="G84" s="57"/>
      <c r="H84" s="57"/>
      <c r="I84" s="57"/>
      <c r="J84" s="57"/>
      <c r="K84" s="57"/>
      <c r="L84" s="57"/>
      <c r="M84" s="57"/>
      <c r="N84" s="57"/>
      <c r="O84" s="57"/>
      <c r="P84" s="57"/>
      <c r="Q84" s="57"/>
      <c r="R84" s="57"/>
      <c r="S84" s="74" t="str">
        <f>IF(C83="Nữ","Đội nữ 5 người",IF(C83="Nam","Đội nam 5 người",""))</f>
        <v/>
      </c>
      <c r="T84" s="77"/>
      <c r="U84" s="77"/>
      <c r="V84" s="77"/>
      <c r="W84" s="57"/>
      <c r="X84" s="57"/>
      <c r="Y84" s="57"/>
      <c r="Z84" s="57"/>
      <c r="AA84" s="57"/>
      <c r="AB84" s="57"/>
      <c r="AC84" s="57"/>
      <c r="AD84" s="57"/>
      <c r="AE84" s="57"/>
      <c r="AF84" s="57"/>
      <c r="AG84" s="77" t="s">
        <v>71</v>
      </c>
      <c r="AH84" s="82"/>
      <c r="AI84" s="82"/>
      <c r="AJ84" s="82"/>
      <c r="AK84" s="69" t="s">
        <v>51</v>
      </c>
      <c r="AL84" s="82"/>
      <c r="AM84" s="82"/>
      <c r="AN84" s="57"/>
      <c r="AO84" s="57"/>
      <c r="AP84" s="57"/>
      <c r="AQ84" s="57"/>
      <c r="AR84" s="57"/>
      <c r="AS84" s="57"/>
      <c r="AT84" s="57"/>
      <c r="AU84" s="67"/>
      <c r="AV84" s="68"/>
    </row>
    <row r="85" ht="29.25" customHeight="1">
      <c r="A85" s="70">
        <f>INT((ROW()-9)/2)+1</f>
        <v>39</v>
      </c>
      <c r="B85" s="70"/>
      <c r="C85" s="70"/>
      <c r="D85" s="70"/>
      <c r="E85" s="70"/>
      <c r="F85" s="70"/>
      <c r="G85" s="73"/>
      <c r="H85" s="73"/>
      <c r="I85" s="73"/>
      <c r="J85" s="73"/>
      <c r="K85" s="73"/>
      <c r="L85" s="73"/>
      <c r="M85" s="70"/>
      <c r="N85" s="73"/>
      <c r="O85" s="73"/>
      <c r="P85" s="70"/>
      <c r="Q85" s="70"/>
      <c r="R85" s="70"/>
      <c r="S85" s="74" t="str">
        <f>IF(C85="Nữ","Đội nữ 3 người",IF(C85="Nam","Đội nam 3 người",""))</f>
        <v/>
      </c>
      <c r="T85" s="77"/>
      <c r="U85" s="77"/>
      <c r="V85" s="77"/>
      <c r="W85" s="70"/>
      <c r="X85" s="70"/>
      <c r="Y85" s="81"/>
      <c r="Z85" s="81"/>
      <c r="AA85" s="81"/>
      <c r="AB85" s="81"/>
      <c r="AC85" s="81"/>
      <c r="AD85" s="81"/>
      <c r="AE85" s="73"/>
      <c r="AF85" s="73"/>
      <c r="AG85" s="77" t="s">
        <v>68</v>
      </c>
      <c r="AH85" s="82"/>
      <c r="AI85" s="82"/>
      <c r="AJ85" s="82"/>
      <c r="AK85" s="82"/>
      <c r="AL85" s="82"/>
      <c r="AM85" s="82"/>
      <c r="AN85" s="70" t="str">
        <f>IF(COUNTIF(T85:T86,"X")&gt;0,"VĐV","Khác")</f>
        <v>Khác</v>
      </c>
      <c r="AO85" s="79">
        <f t="array" ref="AO85">IFERROR(IF(AND(K85="Có",Q85="1 Kyu"),1000,IF(AND(K85="Không",Q85="1 Kyu"),2000,0)),"")+IFERROR(IFS(AND(K85="Có",R85="1 Dan"),1500,AND(K85="Không",R85="1 Dan"),2500,AND(K85="Có",R85="2 Dan"),2200,AND(K85="Không",R85="2 Dan"),4200,AND(K85="Có",R85="3 Dan"),3000,AND(K85="Không",R85="3 Dan"),5000,AND(K85="Có",R85="4 Dan"),4500,AND(K85="Không",R85="4 Dan"),6500,AND(K85="Có",R85="5 Dan"),6000,AND(K85="Không",R85="5 Dan"),8000),0)</f>
        <v>0</v>
      </c>
      <c r="AP85" s="80">
        <f t="array" ref="AP85">IFERROR(IFS(AND(COUNTIF(T85:T86,"X")=1,K85="Có",AB85="Phòng đơn"),1900,AND(COUNTIF(T85:T86,"X")=1,K85="Có",AB85="Phòng đôi"),1550,AND(COUNTIF(T85:T86,"X")=1,K85="Có",AB85="Phòng ba"),1450,AND(COUNTIF(T85:T86,"X")=2,K85="Có",AB85="Phòng đơn"),2200,AND(COUNTIF(T85:T86,"X")=2,K85="Có",AB85="Phòng đôi"),1850,AND(COUNTIF(T85:T86,"X")=2,K85="Có",AB85="Phòng ba"),1750,
AND(COUNTIF(T85:T86,"X")=1,K85="Không",AB85="Phòng đơn"),2400,AND(COUNTIF(T85:T86,"X")=1,K85="Không",AB85="Phòng đôi"),1950,AND(COUNTIF(T85:T86,"X")=1,K85="Không",AB85="Phòng ba"),1850,AND(COUNTIF(T85:T86,"X")=2,K85="Không",AB85="Phòng đơn"),2800,AND(COUNTIF(T85:T86,"X")=2,K85="Không",AB85="Phòng đôi"),2350,AND(COUNTIF(T85:T86,"X")=2,K85="Không",AB85="Phòng ba"),2250),0)</f>
        <v>0</v>
      </c>
      <c r="AQ85" s="80">
        <f>COUNTIF(Y85:AD86,"Phòng đơn")*700
+COUNTIF(Y85:AD86,"Phòng đôi")*350
+COUNTIF(Y85:AD86,"Phòng ba")*250
-IF(AND(COUNTIF(T85:T86,"X")&gt;0,AB85&lt;&gt;""),IF(AB85="Phòng đơn",700,IF(AB85="Phòng đôi",350,IF(AB85="Phòng ba",250,0))),0)</f>
        <v>0</v>
      </c>
      <c r="AR85" s="73">
        <f>COUNTIF(AH85:AM85,"X")*120
+COUNTIF(AH86:AM86,"X")*200
-COUNTIF(T85:T86,"X")*120
-IF(COUNTA(Q85:R86)&gt;0,120,0)</f>
        <v>0</v>
      </c>
      <c r="AS85" s="80">
        <f>IF(COUNTIF(T85:T86,"X")&gt;0,0,IF(AND(AF85="Có",COUNTIF(T85:T86,"X")=0),700,0))</f>
        <v>0</v>
      </c>
      <c r="AT85" s="80">
        <f>SUM(AO85:AS86)</f>
        <v>0</v>
      </c>
      <c r="AU85" s="67"/>
      <c r="AV85" s="68"/>
    </row>
    <row r="86" ht="29.25" customHeight="1">
      <c r="A86" s="57"/>
      <c r="B86" s="57"/>
      <c r="C86" s="57"/>
      <c r="D86" s="57"/>
      <c r="E86" s="57"/>
      <c r="F86" s="57"/>
      <c r="G86" s="57"/>
      <c r="H86" s="57"/>
      <c r="I86" s="57"/>
      <c r="J86" s="57"/>
      <c r="K86" s="57"/>
      <c r="L86" s="57"/>
      <c r="M86" s="57"/>
      <c r="N86" s="57"/>
      <c r="O86" s="57"/>
      <c r="P86" s="57"/>
      <c r="Q86" s="57"/>
      <c r="R86" s="57"/>
      <c r="S86" s="74" t="str">
        <f>IF(C85="Nữ","Đội nữ 5 người",IF(C85="Nam","Đội nam 5 người",""))</f>
        <v/>
      </c>
      <c r="T86" s="77"/>
      <c r="U86" s="77"/>
      <c r="V86" s="77"/>
      <c r="W86" s="57"/>
      <c r="X86" s="57"/>
      <c r="Y86" s="57"/>
      <c r="Z86" s="57"/>
      <c r="AA86" s="57"/>
      <c r="AB86" s="57"/>
      <c r="AC86" s="57"/>
      <c r="AD86" s="57"/>
      <c r="AE86" s="57"/>
      <c r="AF86" s="57"/>
      <c r="AG86" s="77" t="s">
        <v>71</v>
      </c>
      <c r="AH86" s="82"/>
      <c r="AI86" s="82"/>
      <c r="AJ86" s="82"/>
      <c r="AK86" s="69" t="s">
        <v>51</v>
      </c>
      <c r="AL86" s="82"/>
      <c r="AM86" s="82"/>
      <c r="AN86" s="57"/>
      <c r="AO86" s="57"/>
      <c r="AP86" s="57"/>
      <c r="AQ86" s="57"/>
      <c r="AR86" s="57"/>
      <c r="AS86" s="57"/>
      <c r="AT86" s="57"/>
      <c r="AU86" s="67"/>
      <c r="AV86" s="68"/>
    </row>
    <row r="87" ht="29.25" customHeight="1">
      <c r="A87" s="70">
        <f>INT((ROW()-9)/2)+1</f>
        <v>40</v>
      </c>
      <c r="B87" s="70"/>
      <c r="C87" s="70"/>
      <c r="D87" s="70"/>
      <c r="E87" s="70"/>
      <c r="F87" s="70"/>
      <c r="G87" s="73"/>
      <c r="H87" s="73"/>
      <c r="I87" s="73"/>
      <c r="J87" s="73"/>
      <c r="K87" s="73"/>
      <c r="L87" s="73"/>
      <c r="M87" s="70"/>
      <c r="N87" s="73"/>
      <c r="O87" s="73"/>
      <c r="P87" s="70"/>
      <c r="Q87" s="70"/>
      <c r="R87" s="70"/>
      <c r="S87" s="74" t="str">
        <f>IF(C87="Nữ","Đội nữ 3 người",IF(C87="Nam","Đội nam 3 người",""))</f>
        <v/>
      </c>
      <c r="T87" s="77"/>
      <c r="U87" s="77"/>
      <c r="V87" s="77"/>
      <c r="W87" s="70"/>
      <c r="X87" s="70"/>
      <c r="Y87" s="81"/>
      <c r="Z87" s="81"/>
      <c r="AA87" s="81"/>
      <c r="AB87" s="81"/>
      <c r="AC87" s="81"/>
      <c r="AD87" s="81"/>
      <c r="AE87" s="73"/>
      <c r="AF87" s="73"/>
      <c r="AG87" s="77" t="s">
        <v>68</v>
      </c>
      <c r="AH87" s="82"/>
      <c r="AI87" s="82"/>
      <c r="AJ87" s="82"/>
      <c r="AK87" s="82"/>
      <c r="AL87" s="82"/>
      <c r="AM87" s="82"/>
      <c r="AN87" s="70" t="str">
        <f>IF(COUNTIF(T87:T88,"X")&gt;0,"VĐV","Khác")</f>
        <v>Khác</v>
      </c>
      <c r="AO87" s="79">
        <f t="array" ref="AO87">IFERROR(IF(AND(K87="Có",Q87="1 Kyu"),1000,IF(AND(K87="Không",Q87="1 Kyu"),2000,0)),"")+IFERROR(IFS(AND(K87="Có",R87="1 Dan"),1500,AND(K87="Không",R87="1 Dan"),2500,AND(K87="Có",R87="2 Dan"),2200,AND(K87="Không",R87="2 Dan"),4200,AND(K87="Có",R87="3 Dan"),3000,AND(K87="Không",R87="3 Dan"),5000,AND(K87="Có",R87="4 Dan"),4500,AND(K87="Không",R87="4 Dan"),6500,AND(K87="Có",R87="5 Dan"),6000,AND(K87="Không",R87="5 Dan"),8000),0)</f>
        <v>0</v>
      </c>
      <c r="AP87" s="80">
        <f t="array" ref="AP87">IFERROR(IFS(AND(COUNTIF(T87:T88,"X")=1,K87="Có",AB87="Phòng đơn"),1900,AND(COUNTIF(T87:T88,"X")=1,K87="Có",AB87="Phòng đôi"),1550,AND(COUNTIF(T87:T88,"X")=1,K87="Có",AB87="Phòng ba"),1450,AND(COUNTIF(T87:T88,"X")=2,K87="Có",AB87="Phòng đơn"),2200,AND(COUNTIF(T87:T88,"X")=2,K87="Có",AB87="Phòng đôi"),1850,AND(COUNTIF(T87:T88,"X")=2,K87="Có",AB87="Phòng ba"),1750,
AND(COUNTIF(T87:T88,"X")=1,K87="Không",AB87="Phòng đơn"),2400,AND(COUNTIF(T87:T88,"X")=1,K87="Không",AB87="Phòng đôi"),1950,AND(COUNTIF(T87:T88,"X")=1,K87="Không",AB87="Phòng ba"),1850,AND(COUNTIF(T87:T88,"X")=2,K87="Không",AB87="Phòng đơn"),2800,AND(COUNTIF(T87:T88,"X")=2,K87="Không",AB87="Phòng đôi"),2350,AND(COUNTIF(T87:T88,"X")=2,K87="Không",AB87="Phòng ba"),2250),0)</f>
        <v>0</v>
      </c>
      <c r="AQ87" s="80">
        <f>COUNTIF(Y87:AD88,"Phòng đơn")*700
+COUNTIF(Y87:AD88,"Phòng đôi")*350
+COUNTIF(Y87:AD88,"Phòng ba")*250
-IF(AND(COUNTIF(T87:T88,"X")&gt;0,AB87&lt;&gt;""),IF(AB87="Phòng đơn",700,IF(AB87="Phòng đôi",350,IF(AB87="Phòng ba",250,0))),0)</f>
        <v>0</v>
      </c>
      <c r="AR87" s="73">
        <f>COUNTIF(AH87:AM87,"X")*120
+COUNTIF(AH88:AM88,"X")*200
-COUNTIF(T87:T88,"X")*120
-IF(COUNTA(Q87:R88)&gt;0,120,0)</f>
        <v>0</v>
      </c>
      <c r="AS87" s="80">
        <f>IF(COUNTIF(T87:T88,"X")&gt;0,0,IF(AND(AF87="Có",COUNTIF(T87:T88,"X")=0),700,0))</f>
        <v>0</v>
      </c>
      <c r="AT87" s="80">
        <f>SUM(AO87:AS88)</f>
        <v>0</v>
      </c>
      <c r="AU87" s="67"/>
      <c r="AV87" s="68"/>
    </row>
    <row r="88" ht="29.25" customHeight="1">
      <c r="A88" s="57"/>
      <c r="B88" s="57"/>
      <c r="C88" s="57"/>
      <c r="D88" s="57"/>
      <c r="E88" s="57"/>
      <c r="F88" s="57"/>
      <c r="G88" s="57"/>
      <c r="H88" s="57"/>
      <c r="I88" s="57"/>
      <c r="J88" s="57"/>
      <c r="K88" s="57"/>
      <c r="L88" s="57"/>
      <c r="M88" s="57"/>
      <c r="N88" s="57"/>
      <c r="O88" s="57"/>
      <c r="P88" s="57"/>
      <c r="Q88" s="57"/>
      <c r="R88" s="57"/>
      <c r="S88" s="74" t="str">
        <f>IF(C87="Nữ","Đội nữ 5 người",IF(C87="Nam","Đội nam 5 người",""))</f>
        <v/>
      </c>
      <c r="T88" s="77"/>
      <c r="U88" s="77"/>
      <c r="V88" s="77"/>
      <c r="W88" s="57"/>
      <c r="X88" s="57"/>
      <c r="Y88" s="57"/>
      <c r="Z88" s="57"/>
      <c r="AA88" s="57"/>
      <c r="AB88" s="57"/>
      <c r="AC88" s="57"/>
      <c r="AD88" s="57"/>
      <c r="AE88" s="57"/>
      <c r="AF88" s="57"/>
      <c r="AG88" s="77" t="s">
        <v>71</v>
      </c>
      <c r="AH88" s="82"/>
      <c r="AI88" s="82"/>
      <c r="AJ88" s="82"/>
      <c r="AK88" s="69" t="s">
        <v>51</v>
      </c>
      <c r="AL88" s="82"/>
      <c r="AM88" s="82"/>
      <c r="AN88" s="57"/>
      <c r="AO88" s="57"/>
      <c r="AP88" s="57"/>
      <c r="AQ88" s="57"/>
      <c r="AR88" s="57"/>
      <c r="AS88" s="57"/>
      <c r="AT88" s="57"/>
      <c r="AU88" s="67"/>
      <c r="AV88" s="68"/>
    </row>
    <row r="89" ht="29.25" customHeight="1">
      <c r="A89" s="70">
        <f>INT((ROW()-9)/2)+1</f>
        <v>41</v>
      </c>
      <c r="B89" s="70"/>
      <c r="C89" s="70"/>
      <c r="D89" s="70"/>
      <c r="E89" s="70"/>
      <c r="F89" s="70"/>
      <c r="G89" s="73"/>
      <c r="H89" s="73"/>
      <c r="I89" s="73"/>
      <c r="J89" s="73"/>
      <c r="K89" s="73"/>
      <c r="L89" s="73"/>
      <c r="M89" s="70"/>
      <c r="N89" s="73"/>
      <c r="O89" s="73"/>
      <c r="P89" s="70"/>
      <c r="Q89" s="70"/>
      <c r="R89" s="70"/>
      <c r="S89" s="74" t="str">
        <f>IF(C89="Nữ","Đội nữ 3 người",IF(C89="Nam","Đội nam 3 người",""))</f>
        <v/>
      </c>
      <c r="T89" s="77"/>
      <c r="U89" s="77"/>
      <c r="V89" s="77"/>
      <c r="W89" s="70"/>
      <c r="X89" s="70"/>
      <c r="Y89" s="81"/>
      <c r="Z89" s="81"/>
      <c r="AA89" s="81"/>
      <c r="AB89" s="81"/>
      <c r="AC89" s="81"/>
      <c r="AD89" s="81"/>
      <c r="AE89" s="73"/>
      <c r="AF89" s="73"/>
      <c r="AG89" s="77" t="s">
        <v>68</v>
      </c>
      <c r="AH89" s="82"/>
      <c r="AI89" s="82"/>
      <c r="AJ89" s="82"/>
      <c r="AK89" s="82"/>
      <c r="AL89" s="82"/>
      <c r="AM89" s="82"/>
      <c r="AN89" s="70" t="str">
        <f>IF(COUNTIF(T89:T90,"X")&gt;0,"VĐV","Khác")</f>
        <v>Khác</v>
      </c>
      <c r="AO89" s="79">
        <f t="array" ref="AO89">IFERROR(IF(AND(K89="Có",Q89="1 Kyu"),1000,IF(AND(K89="Không",Q89="1 Kyu"),2000,0)),"")+IFERROR(IFS(AND(K89="Có",R89="1 Dan"),1500,AND(K89="Không",R89="1 Dan"),2500,AND(K89="Có",R89="2 Dan"),2200,AND(K89="Không",R89="2 Dan"),4200,AND(K89="Có",R89="3 Dan"),3000,AND(K89="Không",R89="3 Dan"),5000,AND(K89="Có",R89="4 Dan"),4500,AND(K89="Không",R89="4 Dan"),6500,AND(K89="Có",R89="5 Dan"),6000,AND(K89="Không",R89="5 Dan"),8000),0)</f>
        <v>0</v>
      </c>
      <c r="AP89" s="80">
        <f t="array" ref="AP89">IFERROR(IFS(AND(COUNTIF(T89:T90,"X")=1,K89="Có",AB89="Phòng đơn"),1900,AND(COUNTIF(T89:T90,"X")=1,K89="Có",AB89="Phòng đôi"),1550,AND(COUNTIF(T89:T90,"X")=1,K89="Có",AB89="Phòng ba"),1450,AND(COUNTIF(T89:T90,"X")=2,K89="Có",AB89="Phòng đơn"),2200,AND(COUNTIF(T89:T90,"X")=2,K89="Có",AB89="Phòng đôi"),1850,AND(COUNTIF(T89:T90,"X")=2,K89="Có",AB89="Phòng ba"),1750,
AND(COUNTIF(T89:T90,"X")=1,K89="Không",AB89="Phòng đơn"),2400,AND(COUNTIF(T89:T90,"X")=1,K89="Không",AB89="Phòng đôi"),1950,AND(COUNTIF(T89:T90,"X")=1,K89="Không",AB89="Phòng ba"),1850,AND(COUNTIF(T89:T90,"X")=2,K89="Không",AB89="Phòng đơn"),2800,AND(COUNTIF(T89:T90,"X")=2,K89="Không",AB89="Phòng đôi"),2350,AND(COUNTIF(T89:T90,"X")=2,K89="Không",AB89="Phòng ba"),2250),0)</f>
        <v>0</v>
      </c>
      <c r="AQ89" s="80">
        <f>COUNTIF(Y89:AD90,"Phòng đơn")*700
+COUNTIF(Y89:AD90,"Phòng đôi")*350
+COUNTIF(Y89:AD90,"Phòng ba")*250
-IF(AND(COUNTIF(T89:T90,"X")&gt;0,AB89&lt;&gt;""),IF(AB89="Phòng đơn",700,IF(AB89="Phòng đôi",350,IF(AB89="Phòng ba",250,0))),0)</f>
        <v>0</v>
      </c>
      <c r="AR89" s="73">
        <f>COUNTIF(AH89:AM89,"X")*120
+COUNTIF(AH90:AM90,"X")*200
-COUNTIF(T89:T90,"X")*120
-IF(COUNTA(Q89:R90)&gt;0,120,0)</f>
        <v>0</v>
      </c>
      <c r="AS89" s="80">
        <f>IF(COUNTIF(T89:T90,"X")&gt;0,0,IF(AND(AF89="Có",COUNTIF(T89:T90,"X")=0),700,0))</f>
        <v>0</v>
      </c>
      <c r="AT89" s="80">
        <f>SUM(AO89:AS90)</f>
        <v>0</v>
      </c>
      <c r="AU89" s="67"/>
      <c r="AV89" s="68"/>
    </row>
    <row r="90" ht="29.25" customHeight="1">
      <c r="A90" s="57"/>
      <c r="B90" s="57"/>
      <c r="C90" s="57"/>
      <c r="D90" s="57"/>
      <c r="E90" s="57"/>
      <c r="F90" s="57"/>
      <c r="G90" s="57"/>
      <c r="H90" s="57"/>
      <c r="I90" s="57"/>
      <c r="J90" s="57"/>
      <c r="K90" s="57"/>
      <c r="L90" s="57"/>
      <c r="M90" s="57"/>
      <c r="N90" s="57"/>
      <c r="O90" s="57"/>
      <c r="P90" s="57"/>
      <c r="Q90" s="57"/>
      <c r="R90" s="57"/>
      <c r="S90" s="74" t="str">
        <f>IF(C89="Nữ","Đội nữ 5 người",IF(C89="Nam","Đội nam 5 người",""))</f>
        <v/>
      </c>
      <c r="T90" s="77"/>
      <c r="U90" s="77"/>
      <c r="V90" s="77"/>
      <c r="W90" s="57"/>
      <c r="X90" s="57"/>
      <c r="Y90" s="57"/>
      <c r="Z90" s="57"/>
      <c r="AA90" s="57"/>
      <c r="AB90" s="57"/>
      <c r="AC90" s="57"/>
      <c r="AD90" s="57"/>
      <c r="AE90" s="57"/>
      <c r="AF90" s="57"/>
      <c r="AG90" s="77" t="s">
        <v>71</v>
      </c>
      <c r="AH90" s="82"/>
      <c r="AI90" s="82"/>
      <c r="AJ90" s="82"/>
      <c r="AK90" s="69" t="s">
        <v>51</v>
      </c>
      <c r="AL90" s="82"/>
      <c r="AM90" s="82"/>
      <c r="AN90" s="57"/>
      <c r="AO90" s="57"/>
      <c r="AP90" s="57"/>
      <c r="AQ90" s="57"/>
      <c r="AR90" s="57"/>
      <c r="AS90" s="57"/>
      <c r="AT90" s="57"/>
      <c r="AU90" s="67"/>
      <c r="AV90" s="68"/>
    </row>
    <row r="91" ht="29.25" customHeight="1">
      <c r="A91" s="70">
        <f>INT((ROW()-9)/2)+1</f>
        <v>42</v>
      </c>
      <c r="B91" s="70"/>
      <c r="C91" s="70"/>
      <c r="D91" s="70"/>
      <c r="E91" s="70"/>
      <c r="F91" s="70"/>
      <c r="G91" s="73"/>
      <c r="H91" s="73"/>
      <c r="I91" s="73"/>
      <c r="J91" s="73"/>
      <c r="K91" s="73"/>
      <c r="L91" s="73"/>
      <c r="M91" s="70"/>
      <c r="N91" s="73"/>
      <c r="O91" s="73"/>
      <c r="P91" s="70"/>
      <c r="Q91" s="70"/>
      <c r="R91" s="70"/>
      <c r="S91" s="74" t="str">
        <f>IF(C91="Nữ","Đội nữ 3 người",IF(C91="Nam","Đội nam 3 người",""))</f>
        <v/>
      </c>
      <c r="T91" s="77"/>
      <c r="U91" s="77"/>
      <c r="V91" s="77"/>
      <c r="W91" s="70"/>
      <c r="X91" s="70"/>
      <c r="Y91" s="81"/>
      <c r="Z91" s="81"/>
      <c r="AA91" s="81"/>
      <c r="AB91" s="81"/>
      <c r="AC91" s="81"/>
      <c r="AD91" s="81"/>
      <c r="AE91" s="73"/>
      <c r="AF91" s="73"/>
      <c r="AG91" s="77" t="s">
        <v>68</v>
      </c>
      <c r="AH91" s="82"/>
      <c r="AI91" s="82"/>
      <c r="AJ91" s="82"/>
      <c r="AK91" s="82"/>
      <c r="AL91" s="82"/>
      <c r="AM91" s="82"/>
      <c r="AN91" s="70" t="str">
        <f>IF(COUNTIF(T91:T92,"X")&gt;0,"VĐV","Khác")</f>
        <v>Khác</v>
      </c>
      <c r="AO91" s="79">
        <f t="array" ref="AO91">IFERROR(IF(AND(K91="Có",Q91="1 Kyu"),1000,IF(AND(K91="Không",Q91="1 Kyu"),2000,0)),"")+IFERROR(IFS(AND(K91="Có",R91="1 Dan"),1500,AND(K91="Không",R91="1 Dan"),2500,AND(K91="Có",R91="2 Dan"),2200,AND(K91="Không",R91="2 Dan"),4200,AND(K91="Có",R91="3 Dan"),3000,AND(K91="Không",R91="3 Dan"),5000,AND(K91="Có",R91="4 Dan"),4500,AND(K91="Không",R91="4 Dan"),6500,AND(K91="Có",R91="5 Dan"),6000,AND(K91="Không",R91="5 Dan"),8000),0)</f>
        <v>0</v>
      </c>
      <c r="AP91" s="80">
        <f t="array" ref="AP91">IFERROR(IFS(AND(COUNTIF(T91:T92,"X")=1,K91="Có",AB91="Phòng đơn"),1900,AND(COUNTIF(T91:T92,"X")=1,K91="Có",AB91="Phòng đôi"),1550,AND(COUNTIF(T91:T92,"X")=1,K91="Có",AB91="Phòng ba"),1450,AND(COUNTIF(T91:T92,"X")=2,K91="Có",AB91="Phòng đơn"),2200,AND(COUNTIF(T91:T92,"X")=2,K91="Có",AB91="Phòng đôi"),1850,AND(COUNTIF(T91:T92,"X")=2,K91="Có",AB91="Phòng ba"),1750,
AND(COUNTIF(T91:T92,"X")=1,K91="Không",AB91="Phòng đơn"),2400,AND(COUNTIF(T91:T92,"X")=1,K91="Không",AB91="Phòng đôi"),1950,AND(COUNTIF(T91:T92,"X")=1,K91="Không",AB91="Phòng ba"),1850,AND(COUNTIF(T91:T92,"X")=2,K91="Không",AB91="Phòng đơn"),2800,AND(COUNTIF(T91:T92,"X")=2,K91="Không",AB91="Phòng đôi"),2350,AND(COUNTIF(T91:T92,"X")=2,K91="Không",AB91="Phòng ba"),2250),0)</f>
        <v>0</v>
      </c>
      <c r="AQ91" s="80">
        <f>COUNTIF(Y91:AD92,"Phòng đơn")*700
+COUNTIF(Y91:AD92,"Phòng đôi")*350
+COUNTIF(Y91:AD92,"Phòng ba")*250
-IF(AND(COUNTIF(T91:T92,"X")&gt;0,AB91&lt;&gt;""),IF(AB91="Phòng đơn",700,IF(AB91="Phòng đôi",350,IF(AB91="Phòng ba",250,0))),0)</f>
        <v>0</v>
      </c>
      <c r="AR91" s="73">
        <f>COUNTIF(AH91:AM91,"X")*120
+COUNTIF(AH92:AM92,"X")*200
-COUNTIF(T91:T92,"X")*120
-IF(COUNTA(Q91:R92)&gt;0,120,0)</f>
        <v>0</v>
      </c>
      <c r="AS91" s="80">
        <f>IF(COUNTIF(T91:T92,"X")&gt;0,0,IF(AND(AF91="Có",COUNTIF(T91:T92,"X")=0),700,0))</f>
        <v>0</v>
      </c>
      <c r="AT91" s="80">
        <f>SUM(AO91:AS92)</f>
        <v>0</v>
      </c>
      <c r="AU91" s="67"/>
      <c r="AV91" s="68"/>
    </row>
    <row r="92" ht="29.25" customHeight="1">
      <c r="A92" s="57"/>
      <c r="B92" s="57"/>
      <c r="C92" s="57"/>
      <c r="D92" s="57"/>
      <c r="E92" s="57"/>
      <c r="F92" s="57"/>
      <c r="G92" s="57"/>
      <c r="H92" s="57"/>
      <c r="I92" s="57"/>
      <c r="J92" s="57"/>
      <c r="K92" s="57"/>
      <c r="L92" s="57"/>
      <c r="M92" s="57"/>
      <c r="N92" s="57"/>
      <c r="O92" s="57"/>
      <c r="P92" s="57"/>
      <c r="Q92" s="57"/>
      <c r="R92" s="57"/>
      <c r="S92" s="74" t="str">
        <f>IF(C91="Nữ","Đội nữ 5 người",IF(C91="Nam","Đội nam 5 người",""))</f>
        <v/>
      </c>
      <c r="T92" s="77"/>
      <c r="U92" s="77"/>
      <c r="V92" s="77"/>
      <c r="W92" s="57"/>
      <c r="X92" s="57"/>
      <c r="Y92" s="57"/>
      <c r="Z92" s="57"/>
      <c r="AA92" s="57"/>
      <c r="AB92" s="57"/>
      <c r="AC92" s="57"/>
      <c r="AD92" s="57"/>
      <c r="AE92" s="57"/>
      <c r="AF92" s="57"/>
      <c r="AG92" s="77" t="s">
        <v>71</v>
      </c>
      <c r="AH92" s="82"/>
      <c r="AI92" s="82"/>
      <c r="AJ92" s="82"/>
      <c r="AK92" s="69" t="s">
        <v>51</v>
      </c>
      <c r="AL92" s="82"/>
      <c r="AM92" s="82"/>
      <c r="AN92" s="57"/>
      <c r="AO92" s="57"/>
      <c r="AP92" s="57"/>
      <c r="AQ92" s="57"/>
      <c r="AR92" s="57"/>
      <c r="AS92" s="57"/>
      <c r="AT92" s="57"/>
      <c r="AU92" s="67"/>
      <c r="AV92" s="68"/>
    </row>
    <row r="93" ht="29.25" customHeight="1">
      <c r="A93" s="70">
        <f>INT((ROW()-9)/2)+1</f>
        <v>43</v>
      </c>
      <c r="B93" s="70"/>
      <c r="C93" s="70"/>
      <c r="D93" s="70"/>
      <c r="E93" s="70"/>
      <c r="F93" s="70"/>
      <c r="G93" s="73"/>
      <c r="H93" s="73"/>
      <c r="I93" s="73"/>
      <c r="J93" s="73"/>
      <c r="K93" s="73"/>
      <c r="L93" s="73"/>
      <c r="M93" s="70"/>
      <c r="N93" s="73"/>
      <c r="O93" s="73"/>
      <c r="P93" s="70"/>
      <c r="Q93" s="70"/>
      <c r="R93" s="70"/>
      <c r="S93" s="74" t="str">
        <f>IF(C93="Nữ","Đội nữ 3 người",IF(C93="Nam","Đội nam 3 người",""))</f>
        <v/>
      </c>
      <c r="T93" s="77"/>
      <c r="U93" s="77"/>
      <c r="V93" s="77"/>
      <c r="W93" s="70"/>
      <c r="X93" s="70"/>
      <c r="Y93" s="81"/>
      <c r="Z93" s="81"/>
      <c r="AA93" s="81"/>
      <c r="AB93" s="81"/>
      <c r="AC93" s="81"/>
      <c r="AD93" s="81"/>
      <c r="AE93" s="73"/>
      <c r="AF93" s="73"/>
      <c r="AG93" s="77" t="s">
        <v>68</v>
      </c>
      <c r="AH93" s="82"/>
      <c r="AI93" s="82"/>
      <c r="AJ93" s="82"/>
      <c r="AK93" s="82"/>
      <c r="AL93" s="82"/>
      <c r="AM93" s="82"/>
      <c r="AN93" s="70" t="str">
        <f>IF(COUNTIF(T93:T94,"X")&gt;0,"VĐV","Khác")</f>
        <v>Khác</v>
      </c>
      <c r="AO93" s="79">
        <f t="array" ref="AO93">IFERROR(IF(AND(K93="Có",Q93="1 Kyu"),1000,IF(AND(K93="Không",Q93="1 Kyu"),2000,0)),"")+IFERROR(IFS(AND(K93="Có",R93="1 Dan"),1500,AND(K93="Không",R93="1 Dan"),2500,AND(K93="Có",R93="2 Dan"),2200,AND(K93="Không",R93="2 Dan"),4200,AND(K93="Có",R93="3 Dan"),3000,AND(K93="Không",R93="3 Dan"),5000,AND(K93="Có",R93="4 Dan"),4500,AND(K93="Không",R93="4 Dan"),6500,AND(K93="Có",R93="5 Dan"),6000,AND(K93="Không",R93="5 Dan"),8000),0)</f>
        <v>0</v>
      </c>
      <c r="AP93" s="80">
        <f t="array" ref="AP93">IFERROR(IFS(AND(COUNTIF(T93:T94,"X")=1,K93="Có",AB93="Phòng đơn"),1900,AND(COUNTIF(T93:T94,"X")=1,K93="Có",AB93="Phòng đôi"),1550,AND(COUNTIF(T93:T94,"X")=1,K93="Có",AB93="Phòng ba"),1450,AND(COUNTIF(T93:T94,"X")=2,K93="Có",AB93="Phòng đơn"),2200,AND(COUNTIF(T93:T94,"X")=2,K93="Có",AB93="Phòng đôi"),1850,AND(COUNTIF(T93:T94,"X")=2,K93="Có",AB93="Phòng ba"),1750,
AND(COUNTIF(T93:T94,"X")=1,K93="Không",AB93="Phòng đơn"),2400,AND(COUNTIF(T93:T94,"X")=1,K93="Không",AB93="Phòng đôi"),1950,AND(COUNTIF(T93:T94,"X")=1,K93="Không",AB93="Phòng ba"),1850,AND(COUNTIF(T93:T94,"X")=2,K93="Không",AB93="Phòng đơn"),2800,AND(COUNTIF(T93:T94,"X")=2,K93="Không",AB93="Phòng đôi"),2350,AND(COUNTIF(T93:T94,"X")=2,K93="Không",AB93="Phòng ba"),2250),0)</f>
        <v>0</v>
      </c>
      <c r="AQ93" s="80">
        <f>COUNTIF(Y93:AD94,"Phòng đơn")*700
+COUNTIF(Y93:AD94,"Phòng đôi")*350
+COUNTIF(Y93:AD94,"Phòng ba")*250
-IF(AND(COUNTIF(T93:T94,"X")&gt;0,AB93&lt;&gt;""),IF(AB93="Phòng đơn",700,IF(AB93="Phòng đôi",350,IF(AB93="Phòng ba",250,0))),0)</f>
        <v>0</v>
      </c>
      <c r="AR93" s="73">
        <f>COUNTIF(AH93:AM93,"X")*120
+COUNTIF(AH94:AM94,"X")*200
-COUNTIF(T93:T94,"X")*120
-IF(COUNTA(Q93:R94)&gt;0,120,0)</f>
        <v>0</v>
      </c>
      <c r="AS93" s="80">
        <f>IF(COUNTIF(T93:T94,"X")&gt;0,0,IF(AND(AF93="Có",COUNTIF(T93:T94,"X")=0),700,0))</f>
        <v>0</v>
      </c>
      <c r="AT93" s="80">
        <f>SUM(AO93:AS94)</f>
        <v>0</v>
      </c>
      <c r="AU93" s="67"/>
      <c r="AV93" s="68"/>
    </row>
    <row r="94" ht="29.25" customHeight="1">
      <c r="A94" s="57"/>
      <c r="B94" s="57"/>
      <c r="C94" s="57"/>
      <c r="D94" s="57"/>
      <c r="E94" s="57"/>
      <c r="F94" s="57"/>
      <c r="G94" s="57"/>
      <c r="H94" s="57"/>
      <c r="I94" s="57"/>
      <c r="J94" s="57"/>
      <c r="K94" s="57"/>
      <c r="L94" s="57"/>
      <c r="M94" s="57"/>
      <c r="N94" s="57"/>
      <c r="O94" s="57"/>
      <c r="P94" s="57"/>
      <c r="Q94" s="57"/>
      <c r="R94" s="57"/>
      <c r="S94" s="74" t="str">
        <f>IF(C93="Nữ","Đội nữ 5 người",IF(C93="Nam","Đội nam 5 người",""))</f>
        <v/>
      </c>
      <c r="T94" s="77"/>
      <c r="U94" s="77"/>
      <c r="V94" s="77"/>
      <c r="W94" s="57"/>
      <c r="X94" s="57"/>
      <c r="Y94" s="57"/>
      <c r="Z94" s="57"/>
      <c r="AA94" s="57"/>
      <c r="AB94" s="57"/>
      <c r="AC94" s="57"/>
      <c r="AD94" s="57"/>
      <c r="AE94" s="57"/>
      <c r="AF94" s="57"/>
      <c r="AG94" s="77" t="s">
        <v>71</v>
      </c>
      <c r="AH94" s="82"/>
      <c r="AI94" s="82"/>
      <c r="AJ94" s="82"/>
      <c r="AK94" s="69" t="s">
        <v>51</v>
      </c>
      <c r="AL94" s="82"/>
      <c r="AM94" s="82"/>
      <c r="AN94" s="57"/>
      <c r="AO94" s="57"/>
      <c r="AP94" s="57"/>
      <c r="AQ94" s="57"/>
      <c r="AR94" s="57"/>
      <c r="AS94" s="57"/>
      <c r="AT94" s="57"/>
      <c r="AU94" s="67"/>
      <c r="AV94" s="68"/>
    </row>
    <row r="95" ht="29.25" customHeight="1">
      <c r="A95" s="70">
        <f>INT((ROW()-9)/2)+1</f>
        <v>44</v>
      </c>
      <c r="B95" s="70"/>
      <c r="C95" s="70"/>
      <c r="D95" s="70"/>
      <c r="E95" s="70"/>
      <c r="F95" s="70"/>
      <c r="G95" s="73"/>
      <c r="H95" s="73"/>
      <c r="I95" s="73"/>
      <c r="J95" s="73"/>
      <c r="K95" s="73"/>
      <c r="L95" s="73"/>
      <c r="M95" s="70"/>
      <c r="N95" s="73"/>
      <c r="O95" s="73"/>
      <c r="P95" s="70"/>
      <c r="Q95" s="70"/>
      <c r="R95" s="70"/>
      <c r="S95" s="74" t="str">
        <f>IF(C95="Nữ","Đội nữ 3 người",IF(C95="Nam","Đội nam 3 người",""))</f>
        <v/>
      </c>
      <c r="T95" s="77"/>
      <c r="U95" s="77"/>
      <c r="V95" s="77"/>
      <c r="W95" s="70"/>
      <c r="X95" s="70"/>
      <c r="Y95" s="81"/>
      <c r="Z95" s="81"/>
      <c r="AA95" s="81"/>
      <c r="AB95" s="81"/>
      <c r="AC95" s="81"/>
      <c r="AD95" s="81"/>
      <c r="AE95" s="73"/>
      <c r="AF95" s="73"/>
      <c r="AG95" s="77" t="s">
        <v>68</v>
      </c>
      <c r="AH95" s="82"/>
      <c r="AI95" s="82"/>
      <c r="AJ95" s="82"/>
      <c r="AK95" s="82"/>
      <c r="AL95" s="82"/>
      <c r="AM95" s="82"/>
      <c r="AN95" s="70" t="str">
        <f>IF(COUNTIF(T95:T96,"X")&gt;0,"VĐV","Khác")</f>
        <v>Khác</v>
      </c>
      <c r="AO95" s="79">
        <f t="array" ref="AO95">IFERROR(IF(AND(K95="Có",Q95="1 Kyu"),1000,IF(AND(K95="Không",Q95="1 Kyu"),2000,0)),"")+IFERROR(IFS(AND(K95="Có",R95="1 Dan"),1500,AND(K95="Không",R95="1 Dan"),2500,AND(K95="Có",R95="2 Dan"),2200,AND(K95="Không",R95="2 Dan"),4200,AND(K95="Có",R95="3 Dan"),3000,AND(K95="Không",R95="3 Dan"),5000,AND(K95="Có",R95="4 Dan"),4500,AND(K95="Không",R95="4 Dan"),6500,AND(K95="Có",R95="5 Dan"),6000,AND(K95="Không",R95="5 Dan"),8000),0)</f>
        <v>0</v>
      </c>
      <c r="AP95" s="80">
        <f t="array" ref="AP95">IFERROR(IFS(AND(COUNTIF(T95:T96,"X")=1,K95="Có",AB95="Phòng đơn"),1900,AND(COUNTIF(T95:T96,"X")=1,K95="Có",AB95="Phòng đôi"),1550,AND(COUNTIF(T95:T96,"X")=1,K95="Có",AB95="Phòng ba"),1450,AND(COUNTIF(T95:T96,"X")=2,K95="Có",AB95="Phòng đơn"),2200,AND(COUNTIF(T95:T96,"X")=2,K95="Có",AB95="Phòng đôi"),1850,AND(COUNTIF(T95:T96,"X")=2,K95="Có",AB95="Phòng ba"),1750,
AND(COUNTIF(T95:T96,"X")=1,K95="Không",AB95="Phòng đơn"),2400,AND(COUNTIF(T95:T96,"X")=1,K95="Không",AB95="Phòng đôi"),1950,AND(COUNTIF(T95:T96,"X")=1,K95="Không",AB95="Phòng ba"),1850,AND(COUNTIF(T95:T96,"X")=2,K95="Không",AB95="Phòng đơn"),2800,AND(COUNTIF(T95:T96,"X")=2,K95="Không",AB95="Phòng đôi"),2350,AND(COUNTIF(T95:T96,"X")=2,K95="Không",AB95="Phòng ba"),2250),0)</f>
        <v>0</v>
      </c>
      <c r="AQ95" s="80">
        <f>COUNTIF(Y95:AD96,"Phòng đơn")*700
+COUNTIF(Y95:AD96,"Phòng đôi")*350
+COUNTIF(Y95:AD96,"Phòng ba")*250
-IF(AND(COUNTIF(T95:T96,"X")&gt;0,AB95&lt;&gt;""),IF(AB95="Phòng đơn",700,IF(AB95="Phòng đôi",350,IF(AB95="Phòng ba",250,0))),0)</f>
        <v>0</v>
      </c>
      <c r="AR95" s="73">
        <f>COUNTIF(AH95:AM95,"X")*120
+COUNTIF(AH96:AM96,"X")*200
-COUNTIF(T95:T96,"X")*120
-IF(COUNTA(Q95:R96)&gt;0,120,0)</f>
        <v>0</v>
      </c>
      <c r="AS95" s="80">
        <f>IF(COUNTIF(T95:T96,"X")&gt;0,0,IF(AND(AF95="Có",COUNTIF(T95:T96,"X")=0),700,0))</f>
        <v>0</v>
      </c>
      <c r="AT95" s="80">
        <f>SUM(AO95:AS96)</f>
        <v>0</v>
      </c>
      <c r="AU95" s="67"/>
      <c r="AV95" s="68"/>
    </row>
    <row r="96" ht="29.25" customHeight="1">
      <c r="A96" s="57"/>
      <c r="B96" s="57"/>
      <c r="C96" s="57"/>
      <c r="D96" s="57"/>
      <c r="E96" s="57"/>
      <c r="F96" s="57"/>
      <c r="G96" s="57"/>
      <c r="H96" s="57"/>
      <c r="I96" s="57"/>
      <c r="J96" s="57"/>
      <c r="K96" s="57"/>
      <c r="L96" s="57"/>
      <c r="M96" s="57"/>
      <c r="N96" s="57"/>
      <c r="O96" s="57"/>
      <c r="P96" s="57"/>
      <c r="Q96" s="57"/>
      <c r="R96" s="57"/>
      <c r="S96" s="74" t="str">
        <f>IF(C95="Nữ","Đội nữ 5 người",IF(C95="Nam","Đội nam 5 người",""))</f>
        <v/>
      </c>
      <c r="T96" s="77"/>
      <c r="U96" s="77"/>
      <c r="V96" s="77"/>
      <c r="W96" s="57"/>
      <c r="X96" s="57"/>
      <c r="Y96" s="57"/>
      <c r="Z96" s="57"/>
      <c r="AA96" s="57"/>
      <c r="AB96" s="57"/>
      <c r="AC96" s="57"/>
      <c r="AD96" s="57"/>
      <c r="AE96" s="57"/>
      <c r="AF96" s="57"/>
      <c r="AG96" s="77" t="s">
        <v>71</v>
      </c>
      <c r="AH96" s="82"/>
      <c r="AI96" s="82"/>
      <c r="AJ96" s="82"/>
      <c r="AK96" s="69" t="s">
        <v>51</v>
      </c>
      <c r="AL96" s="82"/>
      <c r="AM96" s="82"/>
      <c r="AN96" s="57"/>
      <c r="AO96" s="57"/>
      <c r="AP96" s="57"/>
      <c r="AQ96" s="57"/>
      <c r="AR96" s="57"/>
      <c r="AS96" s="57"/>
      <c r="AT96" s="57"/>
      <c r="AU96" s="67"/>
      <c r="AV96" s="68"/>
    </row>
    <row r="97" ht="29.25" customHeight="1">
      <c r="A97" s="70">
        <f>INT((ROW()-9)/2)+1</f>
        <v>45</v>
      </c>
      <c r="B97" s="70"/>
      <c r="C97" s="70"/>
      <c r="D97" s="70"/>
      <c r="E97" s="70"/>
      <c r="F97" s="70"/>
      <c r="G97" s="73"/>
      <c r="H97" s="73"/>
      <c r="I97" s="73"/>
      <c r="J97" s="73"/>
      <c r="K97" s="73"/>
      <c r="L97" s="73"/>
      <c r="M97" s="70"/>
      <c r="N97" s="73"/>
      <c r="O97" s="73"/>
      <c r="P97" s="70"/>
      <c r="Q97" s="70"/>
      <c r="R97" s="70"/>
      <c r="S97" s="74" t="str">
        <f>IF(C97="Nữ","Đội nữ 3 người",IF(C97="Nam","Đội nam 3 người",""))</f>
        <v/>
      </c>
      <c r="T97" s="77"/>
      <c r="U97" s="77"/>
      <c r="V97" s="77"/>
      <c r="W97" s="70"/>
      <c r="X97" s="70"/>
      <c r="Y97" s="81"/>
      <c r="Z97" s="81"/>
      <c r="AA97" s="81"/>
      <c r="AB97" s="81"/>
      <c r="AC97" s="81"/>
      <c r="AD97" s="81"/>
      <c r="AE97" s="73"/>
      <c r="AF97" s="73"/>
      <c r="AG97" s="77" t="s">
        <v>68</v>
      </c>
      <c r="AH97" s="82"/>
      <c r="AI97" s="82"/>
      <c r="AJ97" s="82"/>
      <c r="AK97" s="82"/>
      <c r="AL97" s="82"/>
      <c r="AM97" s="82"/>
      <c r="AN97" s="70" t="str">
        <f>IF(COUNTIF(T97:T98,"X")&gt;0,"VĐV","Khác")</f>
        <v>Khác</v>
      </c>
      <c r="AO97" s="79">
        <f t="array" ref="AO97">IFERROR(IF(AND(K97="Có",Q97="1 Kyu"),1000,IF(AND(K97="Không",Q97="1 Kyu"),2000,0)),"")+IFERROR(IFS(AND(K97="Có",R97="1 Dan"),1500,AND(K97="Không",R97="1 Dan"),2500,AND(K97="Có",R97="2 Dan"),2200,AND(K97="Không",R97="2 Dan"),4200,AND(K97="Có",R97="3 Dan"),3000,AND(K97="Không",R97="3 Dan"),5000,AND(K97="Có",R97="4 Dan"),4500,AND(K97="Không",R97="4 Dan"),6500,AND(K97="Có",R97="5 Dan"),6000,AND(K97="Không",R97="5 Dan"),8000),0)</f>
        <v>0</v>
      </c>
      <c r="AP97" s="80">
        <f t="array" ref="AP97">IFERROR(IFS(AND(COUNTIF(T97:T98,"X")=1,K97="Có",AB97="Phòng đơn"),1900,AND(COUNTIF(T97:T98,"X")=1,K97="Có",AB97="Phòng đôi"),1550,AND(COUNTIF(T97:T98,"X")=1,K97="Có",AB97="Phòng ba"),1450,AND(COUNTIF(T97:T98,"X")=2,K97="Có",AB97="Phòng đơn"),2200,AND(COUNTIF(T97:T98,"X")=2,K97="Có",AB97="Phòng đôi"),1850,AND(COUNTIF(T97:T98,"X")=2,K97="Có",AB97="Phòng ba"),1750,
AND(COUNTIF(T97:T98,"X")=1,K97="Không",AB97="Phòng đơn"),2400,AND(COUNTIF(T97:T98,"X")=1,K97="Không",AB97="Phòng đôi"),1950,AND(COUNTIF(T97:T98,"X")=1,K97="Không",AB97="Phòng ba"),1850,AND(COUNTIF(T97:T98,"X")=2,K97="Không",AB97="Phòng đơn"),2800,AND(COUNTIF(T97:T98,"X")=2,K97="Không",AB97="Phòng đôi"),2350,AND(COUNTIF(T97:T98,"X")=2,K97="Không",AB97="Phòng ba"),2250),0)</f>
        <v>0</v>
      </c>
      <c r="AQ97" s="80">
        <f>COUNTIF(Y97:AD98,"Phòng đơn")*700
+COUNTIF(Y97:AD98,"Phòng đôi")*350
+COUNTIF(Y97:AD98,"Phòng ba")*250
-IF(AND(COUNTIF(T97:T98,"X")&gt;0,AB97&lt;&gt;""),IF(AB97="Phòng đơn",700,IF(AB97="Phòng đôi",350,IF(AB97="Phòng ba",250,0))),0)</f>
        <v>0</v>
      </c>
      <c r="AR97" s="73">
        <f>COUNTIF(AH97:AM97,"X")*120
+COUNTIF(AH98:AM98,"X")*200
-COUNTIF(T97:T98,"X")*120
-IF(COUNTA(Q97:R98)&gt;0,120,0)</f>
        <v>0</v>
      </c>
      <c r="AS97" s="80">
        <f>IF(COUNTIF(T97:T98,"X")&gt;0,0,IF(AND(AF97="Có",COUNTIF(T97:T98,"X")=0),700,0))</f>
        <v>0</v>
      </c>
      <c r="AT97" s="80">
        <f>SUM(AO97:AS98)</f>
        <v>0</v>
      </c>
      <c r="AU97" s="67"/>
      <c r="AV97" s="68"/>
    </row>
    <row r="98" ht="29.25" customHeight="1">
      <c r="A98" s="57"/>
      <c r="B98" s="57"/>
      <c r="C98" s="57"/>
      <c r="D98" s="57"/>
      <c r="E98" s="57"/>
      <c r="F98" s="57"/>
      <c r="G98" s="57"/>
      <c r="H98" s="57"/>
      <c r="I98" s="57"/>
      <c r="J98" s="57"/>
      <c r="K98" s="57"/>
      <c r="L98" s="57"/>
      <c r="M98" s="57"/>
      <c r="N98" s="57"/>
      <c r="O98" s="57"/>
      <c r="P98" s="57"/>
      <c r="Q98" s="57"/>
      <c r="R98" s="57"/>
      <c r="S98" s="74" t="str">
        <f>IF(C97="Nữ","Đội nữ 5 người",IF(C97="Nam","Đội nam 5 người",""))</f>
        <v/>
      </c>
      <c r="T98" s="77"/>
      <c r="U98" s="77"/>
      <c r="V98" s="77"/>
      <c r="W98" s="57"/>
      <c r="X98" s="57"/>
      <c r="Y98" s="57"/>
      <c r="Z98" s="57"/>
      <c r="AA98" s="57"/>
      <c r="AB98" s="57"/>
      <c r="AC98" s="57"/>
      <c r="AD98" s="57"/>
      <c r="AE98" s="57"/>
      <c r="AF98" s="57"/>
      <c r="AG98" s="77" t="s">
        <v>71</v>
      </c>
      <c r="AH98" s="82"/>
      <c r="AI98" s="82"/>
      <c r="AJ98" s="82"/>
      <c r="AK98" s="69" t="s">
        <v>51</v>
      </c>
      <c r="AL98" s="82"/>
      <c r="AM98" s="82"/>
      <c r="AN98" s="57"/>
      <c r="AO98" s="57"/>
      <c r="AP98" s="57"/>
      <c r="AQ98" s="57"/>
      <c r="AR98" s="57"/>
      <c r="AS98" s="57"/>
      <c r="AT98" s="57"/>
      <c r="AU98" s="67"/>
      <c r="AV98" s="68"/>
    </row>
    <row r="99" ht="29.25" customHeight="1">
      <c r="A99" s="70">
        <f>INT((ROW()-9)/2)+1</f>
        <v>46</v>
      </c>
      <c r="B99" s="70"/>
      <c r="C99" s="70"/>
      <c r="D99" s="70"/>
      <c r="E99" s="70"/>
      <c r="F99" s="70"/>
      <c r="G99" s="73"/>
      <c r="H99" s="73"/>
      <c r="I99" s="73"/>
      <c r="J99" s="73"/>
      <c r="K99" s="73"/>
      <c r="L99" s="73"/>
      <c r="M99" s="70"/>
      <c r="N99" s="73"/>
      <c r="O99" s="73"/>
      <c r="P99" s="70"/>
      <c r="Q99" s="70"/>
      <c r="R99" s="70"/>
      <c r="S99" s="74" t="str">
        <f>IF(C99="Nữ","Đội nữ 3 người",IF(C99="Nam","Đội nam 3 người",""))</f>
        <v/>
      </c>
      <c r="T99" s="77"/>
      <c r="U99" s="77"/>
      <c r="V99" s="77"/>
      <c r="W99" s="70"/>
      <c r="X99" s="70"/>
      <c r="Y99" s="81"/>
      <c r="Z99" s="81"/>
      <c r="AA99" s="81"/>
      <c r="AB99" s="81"/>
      <c r="AC99" s="81"/>
      <c r="AD99" s="81"/>
      <c r="AE99" s="73"/>
      <c r="AF99" s="73"/>
      <c r="AG99" s="77" t="s">
        <v>68</v>
      </c>
      <c r="AH99" s="82"/>
      <c r="AI99" s="82"/>
      <c r="AJ99" s="82"/>
      <c r="AK99" s="82"/>
      <c r="AL99" s="82"/>
      <c r="AM99" s="82"/>
      <c r="AN99" s="70" t="str">
        <f>IF(COUNTIF(T99:T100,"X")&gt;0,"VĐV","Khác")</f>
        <v>Khác</v>
      </c>
      <c r="AO99" s="79">
        <f t="array" ref="AO99">IFERROR(IF(AND(K99="Có",Q99="1 Kyu"),1000,IF(AND(K99="Không",Q99="1 Kyu"),2000,0)),"")+IFERROR(IFS(AND(K99="Có",R99="1 Dan"),1500,AND(K99="Không",R99="1 Dan"),2500,AND(K99="Có",R99="2 Dan"),2200,AND(K99="Không",R99="2 Dan"),4200,AND(K99="Có",R99="3 Dan"),3000,AND(K99="Không",R99="3 Dan"),5000,AND(K99="Có",R99="4 Dan"),4500,AND(K99="Không",R99="4 Dan"),6500,AND(K99="Có",R99="5 Dan"),6000,AND(K99="Không",R99="5 Dan"),8000),0)</f>
        <v>0</v>
      </c>
      <c r="AP99" s="80">
        <f t="array" ref="AP99">IFERROR(IFS(AND(COUNTIF(T99:T100,"X")=1,K99="Có",AB99="Phòng đơn"),1900,AND(COUNTIF(T99:T100,"X")=1,K99="Có",AB99="Phòng đôi"),1550,AND(COUNTIF(T99:T100,"X")=1,K99="Có",AB99="Phòng ba"),1450,AND(COUNTIF(T99:T100,"X")=2,K99="Có",AB99="Phòng đơn"),2200,AND(COUNTIF(T99:T100,"X")=2,K99="Có",AB99="Phòng đôi"),1850,AND(COUNTIF(T99:T100,"X")=2,K99="Có",AB99="Phòng ba"),1750,
AND(COUNTIF(T99:T100,"X")=1,K99="Không",AB99="Phòng đơn"),2400,AND(COUNTIF(T99:T100,"X")=1,K99="Không",AB99="Phòng đôi"),1950,AND(COUNTIF(T99:T100,"X")=1,K99="Không",AB99="Phòng ba"),1850,AND(COUNTIF(T99:T100,"X")=2,K99="Không",AB99="Phòng đơn"),2800,AND(COUNTIF(T99:T100,"X")=2,K99="Không",AB99="Phòng đôi"),2350,AND(COUNTIF(T99:T100,"X")=2,K99="Không",AB99="Phòng ba"),2250),0)</f>
        <v>0</v>
      </c>
      <c r="AQ99" s="80">
        <f>COUNTIF(Y99:AD100,"Phòng đơn")*700
+COUNTIF(Y99:AD100,"Phòng đôi")*350
+COUNTIF(Y99:AD100,"Phòng ba")*250
-IF(AND(COUNTIF(T99:T100,"X")&gt;0,AB99&lt;&gt;""),IF(AB99="Phòng đơn",700,IF(AB99="Phòng đôi",350,IF(AB99="Phòng ba",250,0))),0)</f>
        <v>0</v>
      </c>
      <c r="AR99" s="73">
        <f>COUNTIF(AH99:AM99,"X")*120
+COUNTIF(AH100:AM100,"X")*200
-COUNTIF(T99:T100,"X")*120
-IF(COUNTA(Q99:R100)&gt;0,120,0)</f>
        <v>0</v>
      </c>
      <c r="AS99" s="80">
        <f>IF(COUNTIF(T99:T100,"X")&gt;0,0,IF(AND(AF99="Có",COUNTIF(T99:T100,"X")=0),700,0))</f>
        <v>0</v>
      </c>
      <c r="AT99" s="80">
        <f>SUM(AO99:AS100)</f>
        <v>0</v>
      </c>
      <c r="AU99" s="67"/>
      <c r="AV99" s="68"/>
    </row>
    <row r="100" ht="29.25" customHeight="1">
      <c r="A100" s="57"/>
      <c r="B100" s="57"/>
      <c r="C100" s="57"/>
      <c r="D100" s="57"/>
      <c r="E100" s="57"/>
      <c r="F100" s="57"/>
      <c r="G100" s="57"/>
      <c r="H100" s="57"/>
      <c r="I100" s="57"/>
      <c r="J100" s="57"/>
      <c r="K100" s="57"/>
      <c r="L100" s="57"/>
      <c r="M100" s="57"/>
      <c r="N100" s="57"/>
      <c r="O100" s="57"/>
      <c r="P100" s="57"/>
      <c r="Q100" s="57"/>
      <c r="R100" s="57"/>
      <c r="S100" s="74" t="str">
        <f>IF(C99="Nữ","Đội nữ 5 người",IF(C99="Nam","Đội nam 5 người",""))</f>
        <v/>
      </c>
      <c r="T100" s="77"/>
      <c r="U100" s="77"/>
      <c r="V100" s="77"/>
      <c r="W100" s="57"/>
      <c r="X100" s="57"/>
      <c r="Y100" s="57"/>
      <c r="Z100" s="57"/>
      <c r="AA100" s="57"/>
      <c r="AB100" s="57"/>
      <c r="AC100" s="57"/>
      <c r="AD100" s="57"/>
      <c r="AE100" s="57"/>
      <c r="AF100" s="57"/>
      <c r="AG100" s="77" t="s">
        <v>71</v>
      </c>
      <c r="AH100" s="82"/>
      <c r="AI100" s="82"/>
      <c r="AJ100" s="82"/>
      <c r="AK100" s="69" t="s">
        <v>51</v>
      </c>
      <c r="AL100" s="82"/>
      <c r="AM100" s="82"/>
      <c r="AN100" s="57"/>
      <c r="AO100" s="57"/>
      <c r="AP100" s="57"/>
      <c r="AQ100" s="57"/>
      <c r="AR100" s="57"/>
      <c r="AS100" s="57"/>
      <c r="AT100" s="57"/>
      <c r="AU100" s="67"/>
      <c r="AV100" s="68"/>
    </row>
    <row r="101" ht="29.25" customHeight="1">
      <c r="A101" s="70">
        <f>INT((ROW()-9)/2)+1</f>
        <v>47</v>
      </c>
      <c r="B101" s="70"/>
      <c r="C101" s="70"/>
      <c r="D101" s="70"/>
      <c r="E101" s="70"/>
      <c r="F101" s="70"/>
      <c r="G101" s="73"/>
      <c r="H101" s="73"/>
      <c r="I101" s="73"/>
      <c r="J101" s="73"/>
      <c r="K101" s="73"/>
      <c r="L101" s="73"/>
      <c r="M101" s="70"/>
      <c r="N101" s="73"/>
      <c r="O101" s="73"/>
      <c r="P101" s="70"/>
      <c r="Q101" s="70"/>
      <c r="R101" s="70"/>
      <c r="S101" s="74" t="str">
        <f>IF(C101="Nữ","Đội nữ 3 người",IF(C101="Nam","Đội nam 3 người",""))</f>
        <v/>
      </c>
      <c r="T101" s="77"/>
      <c r="U101" s="77"/>
      <c r="V101" s="77"/>
      <c r="W101" s="70"/>
      <c r="X101" s="70"/>
      <c r="Y101" s="81"/>
      <c r="Z101" s="81"/>
      <c r="AA101" s="81"/>
      <c r="AB101" s="81"/>
      <c r="AC101" s="81"/>
      <c r="AD101" s="81"/>
      <c r="AE101" s="73"/>
      <c r="AF101" s="73"/>
      <c r="AG101" s="77" t="s">
        <v>68</v>
      </c>
      <c r="AH101" s="82"/>
      <c r="AI101" s="82"/>
      <c r="AJ101" s="82"/>
      <c r="AK101" s="82"/>
      <c r="AL101" s="82"/>
      <c r="AM101" s="82"/>
      <c r="AN101" s="70" t="str">
        <f>IF(COUNTIF(T101:T102,"X")&gt;0,"VĐV","Khác")</f>
        <v>Khác</v>
      </c>
      <c r="AO101" s="79">
        <f t="array" ref="AO101">IFERROR(IF(AND(K101="Có",Q101="1 Kyu"),1000,IF(AND(K101="Không",Q101="1 Kyu"),2000,0)),"")+IFERROR(IFS(AND(K101="Có",R101="1 Dan"),1500,AND(K101="Không",R101="1 Dan"),2500,AND(K101="Có",R101="2 Dan"),2200,AND(K101="Không",R101="2 Dan"),4200,AND(K101="Có",R101="3 Dan"),3000,AND(K101="Không",R101="3 Dan"),5000,AND(K101="Có",R101="4 Dan"),4500,AND(K101="Không",R101="4 Dan"),6500,AND(K101="Có",R101="5 Dan"),6000,AND(K101="Không",R101="5 Dan"),8000),0)</f>
        <v>0</v>
      </c>
      <c r="AP101" s="80">
        <f t="array" ref="AP101">IFERROR(IFS(AND(COUNTIF(T101:T102,"X")=1,K101="Có",AB101="Phòng đơn"),1900,AND(COUNTIF(T101:T102,"X")=1,K101="Có",AB101="Phòng đôi"),1550,AND(COUNTIF(T101:T102,"X")=1,K101="Có",AB101="Phòng ba"),1450,AND(COUNTIF(T101:T102,"X")=2,K101="Có",AB101="Phòng đơn"),2200,AND(COUNTIF(T101:T102,"X")=2,K101="Có",AB101="Phòng đôi"),1850,AND(COUNTIF(T101:T102,"X")=2,K101="Có",AB101="Phòng ba"),1750,
AND(COUNTIF(T101:T102,"X")=1,K101="Không",AB101="Phòng đơn"),2400,AND(COUNTIF(T101:T102,"X")=1,K101="Không",AB101="Phòng đôi"),1950,AND(COUNTIF(T101:T102,"X")=1,K101="Không",AB101="Phòng ba"),1850,AND(COUNTIF(T101:T102,"X")=2,K101="Không",AB101="Phòng đơn"),2800,AND(COUNTIF(T101:T102,"X")=2,K101="Không",AB101="Phòng đôi"),2350,AND(COUNTIF(T101:T102,"X")=2,K101="Không",AB101="Phòng ba"),2250),0)</f>
        <v>0</v>
      </c>
      <c r="AQ101" s="80">
        <f>COUNTIF(Y101:AD102,"Phòng đơn")*700
+COUNTIF(Y101:AD102,"Phòng đôi")*350
+COUNTIF(Y101:AD102,"Phòng ba")*250
-IF(AND(COUNTIF(T101:T102,"X")&gt;0,AB101&lt;&gt;""),IF(AB101="Phòng đơn",700,IF(AB101="Phòng đôi",350,IF(AB101="Phòng ba",250,0))),0)</f>
        <v>0</v>
      </c>
      <c r="AR101" s="73">
        <f>COUNTIF(AH101:AM101,"X")*120
+COUNTIF(AH102:AM102,"X")*200
-COUNTIF(T101:T102,"X")*120
-IF(COUNTA(Q101:R102)&gt;0,120,0)</f>
        <v>0</v>
      </c>
      <c r="AS101" s="80">
        <f>IF(COUNTIF(T101:T102,"X")&gt;0,0,IF(AND(AF101="Có",COUNTIF(T101:T102,"X")=0),700,0))</f>
        <v>0</v>
      </c>
      <c r="AT101" s="80">
        <f>SUM(AO101:AS102)</f>
        <v>0</v>
      </c>
      <c r="AU101" s="67"/>
      <c r="AV101" s="68"/>
    </row>
    <row r="102" ht="29.25" customHeight="1">
      <c r="A102" s="57"/>
      <c r="B102" s="57"/>
      <c r="C102" s="57"/>
      <c r="D102" s="57"/>
      <c r="E102" s="57"/>
      <c r="F102" s="57"/>
      <c r="G102" s="57"/>
      <c r="H102" s="57"/>
      <c r="I102" s="57"/>
      <c r="J102" s="57"/>
      <c r="K102" s="57"/>
      <c r="L102" s="57"/>
      <c r="M102" s="57"/>
      <c r="N102" s="57"/>
      <c r="O102" s="57"/>
      <c r="P102" s="57"/>
      <c r="Q102" s="57"/>
      <c r="R102" s="57"/>
      <c r="S102" s="74" t="str">
        <f>IF(C101="Nữ","Đội nữ 5 người",IF(C101="Nam","Đội nam 5 người",""))</f>
        <v/>
      </c>
      <c r="T102" s="77"/>
      <c r="U102" s="77"/>
      <c r="V102" s="77"/>
      <c r="W102" s="57"/>
      <c r="X102" s="57"/>
      <c r="Y102" s="57"/>
      <c r="Z102" s="57"/>
      <c r="AA102" s="57"/>
      <c r="AB102" s="57"/>
      <c r="AC102" s="57"/>
      <c r="AD102" s="57"/>
      <c r="AE102" s="57"/>
      <c r="AF102" s="57"/>
      <c r="AG102" s="77" t="s">
        <v>71</v>
      </c>
      <c r="AH102" s="82"/>
      <c r="AI102" s="82"/>
      <c r="AJ102" s="82"/>
      <c r="AK102" s="69" t="s">
        <v>51</v>
      </c>
      <c r="AL102" s="82"/>
      <c r="AM102" s="82"/>
      <c r="AN102" s="57"/>
      <c r="AO102" s="57"/>
      <c r="AP102" s="57"/>
      <c r="AQ102" s="57"/>
      <c r="AR102" s="57"/>
      <c r="AS102" s="57"/>
      <c r="AT102" s="57"/>
      <c r="AU102" s="67"/>
      <c r="AV102" s="68"/>
    </row>
    <row r="103" ht="29.25" customHeight="1">
      <c r="A103" s="70">
        <f>INT((ROW()-9)/2)+1</f>
        <v>48</v>
      </c>
      <c r="B103" s="70"/>
      <c r="C103" s="70"/>
      <c r="D103" s="70"/>
      <c r="E103" s="70"/>
      <c r="F103" s="70"/>
      <c r="G103" s="73"/>
      <c r="H103" s="73"/>
      <c r="I103" s="73"/>
      <c r="J103" s="73"/>
      <c r="K103" s="73"/>
      <c r="L103" s="73"/>
      <c r="M103" s="70"/>
      <c r="N103" s="73"/>
      <c r="O103" s="73"/>
      <c r="P103" s="70"/>
      <c r="Q103" s="70"/>
      <c r="R103" s="70"/>
      <c r="S103" s="74" t="str">
        <f>IF(C103="Nữ","Đội nữ 3 người",IF(C103="Nam","Đội nam 3 người",""))</f>
        <v/>
      </c>
      <c r="T103" s="77"/>
      <c r="U103" s="77"/>
      <c r="V103" s="77"/>
      <c r="W103" s="70"/>
      <c r="X103" s="70"/>
      <c r="Y103" s="81"/>
      <c r="Z103" s="81"/>
      <c r="AA103" s="81"/>
      <c r="AB103" s="81"/>
      <c r="AC103" s="81"/>
      <c r="AD103" s="81"/>
      <c r="AE103" s="73"/>
      <c r="AF103" s="73"/>
      <c r="AG103" s="77" t="s">
        <v>68</v>
      </c>
      <c r="AH103" s="82"/>
      <c r="AI103" s="82"/>
      <c r="AJ103" s="82"/>
      <c r="AK103" s="82"/>
      <c r="AL103" s="82"/>
      <c r="AM103" s="82"/>
      <c r="AN103" s="70" t="str">
        <f>IF(COUNTIF(T103:T104,"X")&gt;0,"VĐV","Khác")</f>
        <v>Khác</v>
      </c>
      <c r="AO103" s="79">
        <f t="array" ref="AO103">IFERROR(IF(AND(K103="Có",Q103="1 Kyu"),1000,IF(AND(K103="Không",Q103="1 Kyu"),2000,0)),"")+IFERROR(IFS(AND(K103="Có",R103="1 Dan"),1500,AND(K103="Không",R103="1 Dan"),2500,AND(K103="Có",R103="2 Dan"),2200,AND(K103="Không",R103="2 Dan"),4200,AND(K103="Có",R103="3 Dan"),3000,AND(K103="Không",R103="3 Dan"),5000,AND(K103="Có",R103="4 Dan"),4500,AND(K103="Không",R103="4 Dan"),6500,AND(K103="Có",R103="5 Dan"),6000,AND(K103="Không",R103="5 Dan"),8000),0)</f>
        <v>0</v>
      </c>
      <c r="AP103" s="80">
        <f t="array" ref="AP103">IFERROR(IFS(AND(COUNTIF(T103:T104,"X")=1,K103="Có",AB103="Phòng đơn"),1900,AND(COUNTIF(T103:T104,"X")=1,K103="Có",AB103="Phòng đôi"),1550,AND(COUNTIF(T103:T104,"X")=1,K103="Có",AB103="Phòng ba"),1450,AND(COUNTIF(T103:T104,"X")=2,K103="Có",AB103="Phòng đơn"),2200,AND(COUNTIF(T103:T104,"X")=2,K103="Có",AB103="Phòng đôi"),1850,AND(COUNTIF(T103:T104,"X")=2,K103="Có",AB103="Phòng ba"),1750,
AND(COUNTIF(T103:T104,"X")=1,K103="Không",AB103="Phòng đơn"),2400,AND(COUNTIF(T103:T104,"X")=1,K103="Không",AB103="Phòng đôi"),1950,AND(COUNTIF(T103:T104,"X")=1,K103="Không",AB103="Phòng ba"),1850,AND(COUNTIF(T103:T104,"X")=2,K103="Không",AB103="Phòng đơn"),2800,AND(COUNTIF(T103:T104,"X")=2,K103="Không",AB103="Phòng đôi"),2350,AND(COUNTIF(T103:T104,"X")=2,K103="Không",AB103="Phòng ba"),2250),0)</f>
        <v>0</v>
      </c>
      <c r="AQ103" s="80">
        <f>COUNTIF(Y103:AD104,"Phòng đơn")*700
+COUNTIF(Y103:AD104,"Phòng đôi")*350
+COUNTIF(Y103:AD104,"Phòng ba")*250
-IF(AND(COUNTIF(T103:T104,"X")&gt;0,AB103&lt;&gt;""),IF(AB103="Phòng đơn",700,IF(AB103="Phòng đôi",350,IF(AB103="Phòng ba",250,0))),0)</f>
        <v>0</v>
      </c>
      <c r="AR103" s="73">
        <f>COUNTIF(AH103:AM103,"X")*120
+COUNTIF(AH104:AM104,"X")*200
-COUNTIF(T103:T104,"X")*120
-IF(COUNTA(Q103:R104)&gt;0,120,0)</f>
        <v>0</v>
      </c>
      <c r="AS103" s="80">
        <f>IF(COUNTIF(T103:T104,"X")&gt;0,0,IF(AND(AF103="Có",COUNTIF(T103:T104,"X")=0),700,0))</f>
        <v>0</v>
      </c>
      <c r="AT103" s="80">
        <f>SUM(AO103:AS104)</f>
        <v>0</v>
      </c>
      <c r="AU103" s="67"/>
      <c r="AV103" s="68"/>
    </row>
    <row r="104" ht="29.25" customHeight="1">
      <c r="A104" s="57"/>
      <c r="B104" s="57"/>
      <c r="C104" s="57"/>
      <c r="D104" s="57"/>
      <c r="E104" s="57"/>
      <c r="F104" s="57"/>
      <c r="G104" s="57"/>
      <c r="H104" s="57"/>
      <c r="I104" s="57"/>
      <c r="J104" s="57"/>
      <c r="K104" s="57"/>
      <c r="L104" s="57"/>
      <c r="M104" s="57"/>
      <c r="N104" s="57"/>
      <c r="O104" s="57"/>
      <c r="P104" s="57"/>
      <c r="Q104" s="57"/>
      <c r="R104" s="57"/>
      <c r="S104" s="74" t="str">
        <f>IF(C103="Nữ","Đội nữ 5 người",IF(C103="Nam","Đội nam 5 người",""))</f>
        <v/>
      </c>
      <c r="T104" s="77"/>
      <c r="U104" s="77"/>
      <c r="V104" s="77"/>
      <c r="W104" s="57"/>
      <c r="X104" s="57"/>
      <c r="Y104" s="57"/>
      <c r="Z104" s="57"/>
      <c r="AA104" s="57"/>
      <c r="AB104" s="57"/>
      <c r="AC104" s="57"/>
      <c r="AD104" s="57"/>
      <c r="AE104" s="57"/>
      <c r="AF104" s="57"/>
      <c r="AG104" s="77" t="s">
        <v>71</v>
      </c>
      <c r="AH104" s="82"/>
      <c r="AI104" s="82"/>
      <c r="AJ104" s="82"/>
      <c r="AK104" s="69" t="s">
        <v>51</v>
      </c>
      <c r="AL104" s="82"/>
      <c r="AM104" s="82"/>
      <c r="AN104" s="57"/>
      <c r="AO104" s="57"/>
      <c r="AP104" s="57"/>
      <c r="AQ104" s="57"/>
      <c r="AR104" s="57"/>
      <c r="AS104" s="57"/>
      <c r="AT104" s="57"/>
      <c r="AU104" s="67"/>
      <c r="AV104" s="68"/>
    </row>
    <row r="105" ht="29.25" customHeight="1">
      <c r="A105" s="70">
        <f>INT((ROW()-9)/2)+1</f>
        <v>49</v>
      </c>
      <c r="B105" s="70"/>
      <c r="C105" s="70"/>
      <c r="D105" s="70"/>
      <c r="E105" s="70"/>
      <c r="F105" s="70"/>
      <c r="G105" s="73"/>
      <c r="H105" s="73"/>
      <c r="I105" s="73"/>
      <c r="J105" s="73"/>
      <c r="K105" s="73"/>
      <c r="L105" s="73"/>
      <c r="M105" s="70"/>
      <c r="N105" s="73"/>
      <c r="O105" s="73"/>
      <c r="P105" s="70"/>
      <c r="Q105" s="70"/>
      <c r="R105" s="70"/>
      <c r="S105" s="74" t="str">
        <f>IF(C105="Nữ","Đội nữ 3 người",IF(C105="Nam","Đội nam 3 người",""))</f>
        <v/>
      </c>
      <c r="T105" s="77"/>
      <c r="U105" s="77"/>
      <c r="V105" s="77"/>
      <c r="W105" s="70"/>
      <c r="X105" s="70"/>
      <c r="Y105" s="81"/>
      <c r="Z105" s="81"/>
      <c r="AA105" s="81"/>
      <c r="AB105" s="81"/>
      <c r="AC105" s="81"/>
      <c r="AD105" s="81"/>
      <c r="AE105" s="73"/>
      <c r="AF105" s="73"/>
      <c r="AG105" s="77" t="s">
        <v>68</v>
      </c>
      <c r="AH105" s="82"/>
      <c r="AI105" s="82"/>
      <c r="AJ105" s="82"/>
      <c r="AK105" s="82"/>
      <c r="AL105" s="82"/>
      <c r="AM105" s="82"/>
      <c r="AN105" s="70" t="str">
        <f>IF(COUNTIF(T105:T106,"X")&gt;0,"VĐV","Khác")</f>
        <v>Khác</v>
      </c>
      <c r="AO105" s="79">
        <f t="array" ref="AO105">IFERROR(IF(AND(K105="Có",Q105="1 Kyu"),1000,IF(AND(K105="Không",Q105="1 Kyu"),2000,0)),"")+IFERROR(IFS(AND(K105="Có",R105="1 Dan"),1500,AND(K105="Không",R105="1 Dan"),2500,AND(K105="Có",R105="2 Dan"),2200,AND(K105="Không",R105="2 Dan"),4200,AND(K105="Có",R105="3 Dan"),3000,AND(K105="Không",R105="3 Dan"),5000,AND(K105="Có",R105="4 Dan"),4500,AND(K105="Không",R105="4 Dan"),6500,AND(K105="Có",R105="5 Dan"),6000,AND(K105="Không",R105="5 Dan"),8000),0)</f>
        <v>0</v>
      </c>
      <c r="AP105" s="80">
        <f t="array" ref="AP105">IFERROR(IFS(AND(COUNTIF(T105:T106,"X")=1,K105="Có",AB105="Phòng đơn"),1900,AND(COUNTIF(T105:T106,"X")=1,K105="Có",AB105="Phòng đôi"),1550,AND(COUNTIF(T105:T106,"X")=1,K105="Có",AB105="Phòng ba"),1450,AND(COUNTIF(T105:T106,"X")=2,K105="Có",AB105="Phòng đơn"),2200,AND(COUNTIF(T105:T106,"X")=2,K105="Có",AB105="Phòng đôi"),1850,AND(COUNTIF(T105:T106,"X")=2,K105="Có",AB105="Phòng ba"),1750,
AND(COUNTIF(T105:T106,"X")=1,K105="Không",AB105="Phòng đơn"),2400,AND(COUNTIF(T105:T106,"X")=1,K105="Không",AB105="Phòng đôi"),1950,AND(COUNTIF(T105:T106,"X")=1,K105="Không",AB105="Phòng ba"),1850,AND(COUNTIF(T105:T106,"X")=2,K105="Không",AB105="Phòng đơn"),2800,AND(COUNTIF(T105:T106,"X")=2,K105="Không",AB105="Phòng đôi"),2350,AND(COUNTIF(T105:T106,"X")=2,K105="Không",AB105="Phòng ba"),2250),0)</f>
        <v>0</v>
      </c>
      <c r="AQ105" s="80">
        <f>COUNTIF(Y105:AD106,"Phòng đơn")*700
+COUNTIF(Y105:AD106,"Phòng đôi")*350
+COUNTIF(Y105:AD106,"Phòng ba")*250
-IF(AND(COUNTIF(T105:T106,"X")&gt;0,AB105&lt;&gt;""),IF(AB105="Phòng đơn",700,IF(AB105="Phòng đôi",350,IF(AB105="Phòng ba",250,0))),0)</f>
        <v>0</v>
      </c>
      <c r="AR105" s="73">
        <f>COUNTIF(AH105:AM105,"X")*120
+COUNTIF(AH106:AM106,"X")*200
-COUNTIF(T105:T106,"X")*120
-IF(COUNTA(Q105:R106)&gt;0,120,0)</f>
        <v>0</v>
      </c>
      <c r="AS105" s="80">
        <f>IF(COUNTIF(T105:T106,"X")&gt;0,0,IF(AND(AF105="Có",COUNTIF(T105:T106,"X")=0),700,0))</f>
        <v>0</v>
      </c>
      <c r="AT105" s="80">
        <f>SUM(AO105:AS106)</f>
        <v>0</v>
      </c>
      <c r="AU105" s="67"/>
      <c r="AV105" s="68"/>
    </row>
    <row r="106" ht="29.25" customHeight="1">
      <c r="A106" s="57"/>
      <c r="B106" s="57"/>
      <c r="C106" s="57"/>
      <c r="D106" s="57"/>
      <c r="E106" s="57"/>
      <c r="F106" s="57"/>
      <c r="G106" s="57"/>
      <c r="H106" s="57"/>
      <c r="I106" s="57"/>
      <c r="J106" s="57"/>
      <c r="K106" s="57"/>
      <c r="L106" s="57"/>
      <c r="M106" s="57"/>
      <c r="N106" s="57"/>
      <c r="O106" s="57"/>
      <c r="P106" s="57"/>
      <c r="Q106" s="57"/>
      <c r="R106" s="57"/>
      <c r="S106" s="74" t="str">
        <f>IF(C105="Nữ","Đội nữ 5 người",IF(C105="Nam","Đội nam 5 người",""))</f>
        <v/>
      </c>
      <c r="T106" s="77"/>
      <c r="U106" s="77"/>
      <c r="V106" s="77"/>
      <c r="W106" s="57"/>
      <c r="X106" s="57"/>
      <c r="Y106" s="57"/>
      <c r="Z106" s="57"/>
      <c r="AA106" s="57"/>
      <c r="AB106" s="57"/>
      <c r="AC106" s="57"/>
      <c r="AD106" s="57"/>
      <c r="AE106" s="57"/>
      <c r="AF106" s="57"/>
      <c r="AG106" s="77" t="s">
        <v>71</v>
      </c>
      <c r="AH106" s="82"/>
      <c r="AI106" s="82"/>
      <c r="AJ106" s="82"/>
      <c r="AK106" s="69" t="s">
        <v>51</v>
      </c>
      <c r="AL106" s="82"/>
      <c r="AM106" s="82"/>
      <c r="AN106" s="57"/>
      <c r="AO106" s="57"/>
      <c r="AP106" s="57"/>
      <c r="AQ106" s="57"/>
      <c r="AR106" s="57"/>
      <c r="AS106" s="57"/>
      <c r="AT106" s="57"/>
      <c r="AU106" s="67"/>
      <c r="AV106" s="68"/>
    </row>
    <row r="107" ht="29.25" customHeight="1">
      <c r="A107" s="70">
        <f>INT((ROW()-9)/2)+1</f>
        <v>50</v>
      </c>
      <c r="B107" s="70"/>
      <c r="C107" s="70"/>
      <c r="D107" s="70"/>
      <c r="E107" s="70"/>
      <c r="F107" s="70"/>
      <c r="G107" s="73"/>
      <c r="H107" s="73"/>
      <c r="I107" s="73"/>
      <c r="J107" s="73"/>
      <c r="K107" s="73"/>
      <c r="L107" s="73"/>
      <c r="M107" s="70"/>
      <c r="N107" s="73"/>
      <c r="O107" s="73"/>
      <c r="P107" s="70"/>
      <c r="Q107" s="70"/>
      <c r="R107" s="70"/>
      <c r="S107" s="74" t="str">
        <f>IF(C107="Nữ","Đội nữ 3 người",IF(C107="Nam","Đội nam 3 người",""))</f>
        <v/>
      </c>
      <c r="T107" s="77"/>
      <c r="U107" s="77"/>
      <c r="V107" s="77"/>
      <c r="W107" s="70"/>
      <c r="X107" s="70"/>
      <c r="Y107" s="81"/>
      <c r="Z107" s="81"/>
      <c r="AA107" s="81"/>
      <c r="AB107" s="81"/>
      <c r="AC107" s="81"/>
      <c r="AD107" s="81"/>
      <c r="AE107" s="73"/>
      <c r="AF107" s="73"/>
      <c r="AG107" s="77" t="s">
        <v>68</v>
      </c>
      <c r="AH107" s="82"/>
      <c r="AI107" s="82"/>
      <c r="AJ107" s="82"/>
      <c r="AK107" s="82"/>
      <c r="AL107" s="82"/>
      <c r="AM107" s="82"/>
      <c r="AN107" s="70" t="str">
        <f>IF(COUNTIF(T107:T108,"X")&gt;0,"VĐV","Khác")</f>
        <v>Khác</v>
      </c>
      <c r="AO107" s="79">
        <f t="array" ref="AO107">IFERROR(IF(AND(K107="Có",Q107="1 Kyu"),1000,IF(AND(K107="Không",Q107="1 Kyu"),2000,0)),"")+IFERROR(IFS(AND(K107="Có",R107="1 Dan"),1500,AND(K107="Không",R107="1 Dan"),2500,AND(K107="Có",R107="2 Dan"),2200,AND(K107="Không",R107="2 Dan"),4200,AND(K107="Có",R107="3 Dan"),3000,AND(K107="Không",R107="3 Dan"),5000,AND(K107="Có",R107="4 Dan"),4500,AND(K107="Không",R107="4 Dan"),6500,AND(K107="Có",R107="5 Dan"),6000,AND(K107="Không",R107="5 Dan"),8000),0)</f>
        <v>0</v>
      </c>
      <c r="AP107" s="80">
        <f t="array" ref="AP107">IFERROR(IFS(AND(COUNTIF(T107:T108,"X")=1,K107="Có",AB107="Phòng đơn"),1900,AND(COUNTIF(T107:T108,"X")=1,K107="Có",AB107="Phòng đôi"),1550,AND(COUNTIF(T107:T108,"X")=1,K107="Có",AB107="Phòng ba"),1450,AND(COUNTIF(T107:T108,"X")=2,K107="Có",AB107="Phòng đơn"),2200,AND(COUNTIF(T107:T108,"X")=2,K107="Có",AB107="Phòng đôi"),1850,AND(COUNTIF(T107:T108,"X")=2,K107="Có",AB107="Phòng ba"),1750,
AND(COUNTIF(T107:T108,"X")=1,K107="Không",AB107="Phòng đơn"),2400,AND(COUNTIF(T107:T108,"X")=1,K107="Không",AB107="Phòng đôi"),1950,AND(COUNTIF(T107:T108,"X")=1,K107="Không",AB107="Phòng ba"),1850,AND(COUNTIF(T107:T108,"X")=2,K107="Không",AB107="Phòng đơn"),2800,AND(COUNTIF(T107:T108,"X")=2,K107="Không",AB107="Phòng đôi"),2350,AND(COUNTIF(T107:T108,"X")=2,K107="Không",AB107="Phòng ba"),2250),0)</f>
        <v>0</v>
      </c>
      <c r="AQ107" s="80">
        <f>COUNTIF(Y107:AD108,"Phòng đơn")*700
+COUNTIF(Y107:AD108,"Phòng đôi")*350
+COUNTIF(Y107:AD108,"Phòng ba")*250
-IF(AND(COUNTIF(T107:T108,"X")&gt;0,AB107&lt;&gt;""),IF(AB107="Phòng đơn",700,IF(AB107="Phòng đôi",350,IF(AB107="Phòng ba",250,0))),0)</f>
        <v>0</v>
      </c>
      <c r="AR107" s="73">
        <f>COUNTIF(AH107:AM107,"X")*120
+COUNTIF(AH108:AM108,"X")*200
-COUNTIF(T107:T108,"X")*120
-IF(COUNTA(Q107:R108)&gt;0,120,0)</f>
        <v>0</v>
      </c>
      <c r="AS107" s="80">
        <f>IF(COUNTIF(T107:T108,"X")&gt;0,0,IF(AND(AF107="Có",COUNTIF(T107:T108,"X")=0),700,0))</f>
        <v>0</v>
      </c>
      <c r="AT107" s="80">
        <f>SUM(AO107:AS108)</f>
        <v>0</v>
      </c>
      <c r="AU107" s="67"/>
      <c r="AV107" s="68"/>
    </row>
    <row r="108" ht="29.25" customHeight="1">
      <c r="A108" s="57"/>
      <c r="B108" s="57"/>
      <c r="C108" s="57"/>
      <c r="D108" s="57"/>
      <c r="E108" s="57"/>
      <c r="F108" s="57"/>
      <c r="G108" s="57"/>
      <c r="H108" s="57"/>
      <c r="I108" s="57"/>
      <c r="J108" s="57"/>
      <c r="K108" s="57"/>
      <c r="L108" s="57"/>
      <c r="M108" s="57"/>
      <c r="N108" s="57"/>
      <c r="O108" s="57"/>
      <c r="P108" s="57"/>
      <c r="Q108" s="57"/>
      <c r="R108" s="57"/>
      <c r="S108" s="74" t="str">
        <f>IF(C107="Nữ","Đội nữ 5 người",IF(C107="Nam","Đội nam 5 người",""))</f>
        <v/>
      </c>
      <c r="T108" s="77"/>
      <c r="U108" s="77"/>
      <c r="V108" s="77"/>
      <c r="W108" s="57"/>
      <c r="X108" s="57"/>
      <c r="Y108" s="57"/>
      <c r="Z108" s="57"/>
      <c r="AA108" s="57"/>
      <c r="AB108" s="57"/>
      <c r="AC108" s="57"/>
      <c r="AD108" s="57"/>
      <c r="AE108" s="57"/>
      <c r="AF108" s="57"/>
      <c r="AG108" s="77" t="s">
        <v>71</v>
      </c>
      <c r="AH108" s="82"/>
      <c r="AI108" s="82"/>
      <c r="AJ108" s="82"/>
      <c r="AK108" s="69" t="s">
        <v>51</v>
      </c>
      <c r="AL108" s="82"/>
      <c r="AM108" s="82"/>
      <c r="AN108" s="57"/>
      <c r="AO108" s="57"/>
      <c r="AP108" s="57"/>
      <c r="AQ108" s="57"/>
      <c r="AR108" s="57"/>
      <c r="AS108" s="57"/>
      <c r="AT108" s="57"/>
      <c r="AU108" s="67"/>
      <c r="AV108" s="68"/>
    </row>
    <row r="109" ht="15.75" customHeight="1">
      <c r="A109" s="6"/>
      <c r="B109" s="6"/>
      <c r="C109" s="6"/>
      <c r="D109" s="6"/>
      <c r="E109" s="6"/>
      <c r="F109" s="6"/>
      <c r="G109" s="83"/>
      <c r="H109" s="83"/>
      <c r="I109" s="83"/>
      <c r="J109" s="83"/>
      <c r="K109" s="83"/>
      <c r="L109" s="83"/>
      <c r="M109" s="6"/>
      <c r="N109" s="83"/>
      <c r="O109" s="83"/>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7"/>
    </row>
    <row r="110" ht="15.75" customHeight="1">
      <c r="A110" s="6"/>
      <c r="B110" s="6"/>
      <c r="C110" s="6"/>
      <c r="D110" s="6"/>
      <c r="E110" s="6"/>
      <c r="F110" s="6"/>
      <c r="G110" s="83"/>
      <c r="H110" s="83"/>
      <c r="I110" s="83"/>
      <c r="J110" s="83"/>
      <c r="K110" s="83"/>
      <c r="L110" s="83"/>
      <c r="M110" s="6"/>
      <c r="N110" s="83"/>
      <c r="O110" s="83"/>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7"/>
    </row>
    <row r="111" ht="15.75" customHeight="1">
      <c r="A111" s="6"/>
      <c r="B111" s="6"/>
      <c r="C111" s="6"/>
      <c r="D111" s="6"/>
      <c r="E111" s="6"/>
      <c r="F111" s="6"/>
      <c r="G111" s="83"/>
      <c r="H111" s="83"/>
      <c r="I111" s="83"/>
      <c r="J111" s="83"/>
      <c r="K111" s="83"/>
      <c r="L111" s="83"/>
      <c r="M111" s="6"/>
      <c r="N111" s="83"/>
      <c r="O111" s="83"/>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7"/>
    </row>
    <row r="112" ht="15.75" customHeight="1">
      <c r="A112" s="6"/>
      <c r="B112" s="6"/>
      <c r="C112" s="6"/>
      <c r="D112" s="6"/>
      <c r="E112" s="6"/>
      <c r="F112" s="6"/>
      <c r="G112" s="83"/>
      <c r="H112" s="83"/>
      <c r="I112" s="83"/>
      <c r="J112" s="83"/>
      <c r="K112" s="83"/>
      <c r="L112" s="83"/>
      <c r="M112" s="6"/>
      <c r="N112" s="83"/>
      <c r="O112" s="83"/>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7"/>
    </row>
    <row r="113" ht="15.75" customHeight="1">
      <c r="A113" s="6"/>
      <c r="B113" s="6"/>
      <c r="C113" s="6"/>
      <c r="D113" s="6"/>
      <c r="E113" s="6"/>
      <c r="F113" s="6"/>
      <c r="G113" s="83"/>
      <c r="H113" s="83"/>
      <c r="I113" s="83"/>
      <c r="J113" s="83"/>
      <c r="K113" s="83"/>
      <c r="L113" s="83"/>
      <c r="M113" s="6"/>
      <c r="N113" s="83"/>
      <c r="O113" s="83"/>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7"/>
    </row>
    <row r="114" ht="15.75" customHeight="1">
      <c r="A114" s="6"/>
      <c r="B114" s="6"/>
      <c r="C114" s="6"/>
      <c r="D114" s="6"/>
      <c r="E114" s="6"/>
      <c r="F114" s="6"/>
      <c r="G114" s="83"/>
      <c r="H114" s="83"/>
      <c r="I114" s="83"/>
      <c r="J114" s="83"/>
      <c r="K114" s="83"/>
      <c r="L114" s="83"/>
      <c r="M114" s="6"/>
      <c r="N114" s="83"/>
      <c r="O114" s="83"/>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7"/>
    </row>
    <row r="115" ht="15.75" customHeight="1">
      <c r="A115" s="6"/>
      <c r="B115" s="6"/>
      <c r="C115" s="6"/>
      <c r="D115" s="6"/>
      <c r="E115" s="6"/>
      <c r="F115" s="6"/>
      <c r="G115" s="83"/>
      <c r="H115" s="83"/>
      <c r="I115" s="83"/>
      <c r="J115" s="83"/>
      <c r="K115" s="83"/>
      <c r="L115" s="83"/>
      <c r="M115" s="6"/>
      <c r="N115" s="83"/>
      <c r="O115" s="83"/>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7"/>
    </row>
    <row r="116" ht="15.75" customHeight="1">
      <c r="A116" s="6"/>
      <c r="B116" s="6"/>
      <c r="C116" s="6"/>
      <c r="D116" s="6"/>
      <c r="E116" s="6"/>
      <c r="F116" s="6"/>
      <c r="G116" s="83"/>
      <c r="H116" s="83"/>
      <c r="I116" s="83"/>
      <c r="J116" s="83"/>
      <c r="K116" s="83"/>
      <c r="L116" s="83"/>
      <c r="M116" s="6"/>
      <c r="N116" s="83"/>
      <c r="O116" s="83"/>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7"/>
    </row>
    <row r="117" ht="15.75" customHeight="1">
      <c r="A117" s="6"/>
      <c r="B117" s="6"/>
      <c r="C117" s="6"/>
      <c r="D117" s="6"/>
      <c r="E117" s="6"/>
      <c r="F117" s="6"/>
      <c r="G117" s="83"/>
      <c r="H117" s="83"/>
      <c r="I117" s="83"/>
      <c r="J117" s="83"/>
      <c r="K117" s="83"/>
      <c r="L117" s="83"/>
      <c r="M117" s="6"/>
      <c r="N117" s="83"/>
      <c r="O117" s="83"/>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7"/>
    </row>
    <row r="118" ht="15.75" customHeight="1">
      <c r="A118" s="6"/>
      <c r="B118" s="6"/>
      <c r="C118" s="6"/>
      <c r="D118" s="6"/>
      <c r="E118" s="6"/>
      <c r="F118" s="6"/>
      <c r="G118" s="83"/>
      <c r="H118" s="83"/>
      <c r="I118" s="83"/>
      <c r="J118" s="83"/>
      <c r="K118" s="83"/>
      <c r="L118" s="83"/>
      <c r="M118" s="6"/>
      <c r="N118" s="83"/>
      <c r="O118" s="83"/>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7"/>
    </row>
    <row r="119" ht="15.75" customHeight="1">
      <c r="A119" s="6"/>
      <c r="B119" s="6"/>
      <c r="C119" s="6"/>
      <c r="D119" s="6"/>
      <c r="E119" s="6"/>
      <c r="F119" s="6"/>
      <c r="G119" s="83"/>
      <c r="H119" s="83"/>
      <c r="I119" s="83"/>
      <c r="J119" s="83"/>
      <c r="K119" s="83"/>
      <c r="L119" s="83"/>
      <c r="M119" s="6"/>
      <c r="N119" s="83"/>
      <c r="O119" s="83"/>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7"/>
    </row>
    <row r="120" ht="15.75" customHeight="1">
      <c r="A120" s="6"/>
      <c r="B120" s="6"/>
      <c r="C120" s="6"/>
      <c r="D120" s="6"/>
      <c r="E120" s="6"/>
      <c r="F120" s="6"/>
      <c r="G120" s="83"/>
      <c r="H120" s="83"/>
      <c r="I120" s="83"/>
      <c r="J120" s="83"/>
      <c r="K120" s="83"/>
      <c r="L120" s="83"/>
      <c r="M120" s="6"/>
      <c r="N120" s="83"/>
      <c r="O120" s="83"/>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7"/>
    </row>
    <row r="121" ht="15.75" customHeight="1">
      <c r="A121" s="6"/>
      <c r="B121" s="6"/>
      <c r="C121" s="6"/>
      <c r="D121" s="6"/>
      <c r="E121" s="6"/>
      <c r="F121" s="6"/>
      <c r="G121" s="83"/>
      <c r="H121" s="83"/>
      <c r="I121" s="83"/>
      <c r="J121" s="83"/>
      <c r="K121" s="83"/>
      <c r="L121" s="83"/>
      <c r="M121" s="6"/>
      <c r="N121" s="83"/>
      <c r="O121" s="83"/>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7"/>
    </row>
    <row r="122" ht="15.75" customHeight="1">
      <c r="A122" s="6"/>
      <c r="B122" s="6"/>
      <c r="C122" s="6"/>
      <c r="D122" s="6"/>
      <c r="E122" s="6"/>
      <c r="F122" s="6"/>
      <c r="G122" s="83"/>
      <c r="H122" s="83"/>
      <c r="I122" s="83"/>
      <c r="J122" s="83"/>
      <c r="K122" s="83"/>
      <c r="L122" s="83"/>
      <c r="M122" s="6"/>
      <c r="N122" s="83"/>
      <c r="O122" s="83"/>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7"/>
    </row>
    <row r="123" ht="15.75" customHeight="1">
      <c r="A123" s="6"/>
      <c r="B123" s="6"/>
      <c r="C123" s="6"/>
      <c r="D123" s="6"/>
      <c r="E123" s="6"/>
      <c r="F123" s="6"/>
      <c r="G123" s="83"/>
      <c r="H123" s="83"/>
      <c r="I123" s="83"/>
      <c r="J123" s="83"/>
      <c r="K123" s="83"/>
      <c r="L123" s="83"/>
      <c r="M123" s="6"/>
      <c r="N123" s="83"/>
      <c r="O123" s="83"/>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7"/>
    </row>
    <row r="124" ht="15.75" customHeight="1">
      <c r="A124" s="6"/>
      <c r="B124" s="6"/>
      <c r="C124" s="6"/>
      <c r="D124" s="6"/>
      <c r="E124" s="6"/>
      <c r="F124" s="6"/>
      <c r="G124" s="83"/>
      <c r="H124" s="83"/>
      <c r="I124" s="83"/>
      <c r="J124" s="83"/>
      <c r="K124" s="83"/>
      <c r="L124" s="83"/>
      <c r="M124" s="6"/>
      <c r="N124" s="83"/>
      <c r="O124" s="83"/>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7"/>
    </row>
    <row r="125" ht="15.75" customHeight="1">
      <c r="A125" s="6"/>
      <c r="B125" s="6"/>
      <c r="C125" s="6"/>
      <c r="D125" s="6"/>
      <c r="E125" s="6"/>
      <c r="F125" s="6"/>
      <c r="G125" s="83"/>
      <c r="H125" s="83"/>
      <c r="I125" s="83"/>
      <c r="J125" s="83"/>
      <c r="K125" s="83"/>
      <c r="L125" s="83"/>
      <c r="M125" s="6"/>
      <c r="N125" s="83"/>
      <c r="O125" s="83"/>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7"/>
    </row>
    <row r="126" ht="15.75" customHeight="1">
      <c r="A126" s="6"/>
      <c r="B126" s="6"/>
      <c r="C126" s="6"/>
      <c r="D126" s="6"/>
      <c r="E126" s="6"/>
      <c r="F126" s="6"/>
      <c r="G126" s="83"/>
      <c r="H126" s="83"/>
      <c r="I126" s="83"/>
      <c r="J126" s="83"/>
      <c r="K126" s="83"/>
      <c r="L126" s="83"/>
      <c r="M126" s="6"/>
      <c r="N126" s="83"/>
      <c r="O126" s="83"/>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7"/>
    </row>
    <row r="127" ht="15.75" customHeight="1">
      <c r="A127" s="6"/>
      <c r="B127" s="6"/>
      <c r="C127" s="6"/>
      <c r="D127" s="6"/>
      <c r="E127" s="6"/>
      <c r="F127" s="6"/>
      <c r="G127" s="83"/>
      <c r="H127" s="83"/>
      <c r="I127" s="83"/>
      <c r="J127" s="83"/>
      <c r="K127" s="83"/>
      <c r="L127" s="83"/>
      <c r="M127" s="6"/>
      <c r="N127" s="83"/>
      <c r="O127" s="83"/>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7"/>
    </row>
    <row r="128" ht="15.75" customHeight="1">
      <c r="A128" s="6"/>
      <c r="B128" s="6"/>
      <c r="C128" s="6"/>
      <c r="D128" s="6"/>
      <c r="E128" s="6"/>
      <c r="F128" s="6"/>
      <c r="G128" s="83"/>
      <c r="H128" s="83"/>
      <c r="I128" s="83"/>
      <c r="J128" s="83"/>
      <c r="K128" s="83"/>
      <c r="L128" s="83"/>
      <c r="M128" s="6"/>
      <c r="N128" s="83"/>
      <c r="O128" s="83"/>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7"/>
    </row>
    <row r="129" ht="15.75" customHeight="1">
      <c r="A129" s="6"/>
      <c r="B129" s="6"/>
      <c r="C129" s="6"/>
      <c r="D129" s="6"/>
      <c r="E129" s="6"/>
      <c r="F129" s="6"/>
      <c r="G129" s="83"/>
      <c r="H129" s="83"/>
      <c r="I129" s="83"/>
      <c r="J129" s="83"/>
      <c r="K129" s="83"/>
      <c r="L129" s="83"/>
      <c r="M129" s="6"/>
      <c r="N129" s="83"/>
      <c r="O129" s="83"/>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7"/>
    </row>
    <row r="130" ht="15.75" customHeight="1">
      <c r="A130" s="6"/>
      <c r="B130" s="6"/>
      <c r="C130" s="6"/>
      <c r="D130" s="6"/>
      <c r="E130" s="6"/>
      <c r="F130" s="6"/>
      <c r="G130" s="83"/>
      <c r="H130" s="83"/>
      <c r="I130" s="83"/>
      <c r="J130" s="83"/>
      <c r="K130" s="83"/>
      <c r="L130" s="83"/>
      <c r="M130" s="6"/>
      <c r="N130" s="83"/>
      <c r="O130" s="83"/>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7"/>
    </row>
    <row r="131" ht="15.75" customHeight="1">
      <c r="A131" s="6"/>
      <c r="B131" s="6"/>
      <c r="C131" s="6"/>
      <c r="D131" s="6"/>
      <c r="E131" s="6"/>
      <c r="F131" s="6"/>
      <c r="G131" s="83"/>
      <c r="H131" s="83"/>
      <c r="I131" s="83"/>
      <c r="J131" s="83"/>
      <c r="K131" s="83"/>
      <c r="L131" s="83"/>
      <c r="M131" s="6"/>
      <c r="N131" s="83"/>
      <c r="O131" s="83"/>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7"/>
    </row>
    <row r="132" ht="15.75" customHeight="1">
      <c r="A132" s="6"/>
      <c r="B132" s="6"/>
      <c r="C132" s="6"/>
      <c r="D132" s="6"/>
      <c r="E132" s="6"/>
      <c r="F132" s="6"/>
      <c r="G132" s="83"/>
      <c r="H132" s="83"/>
      <c r="I132" s="83"/>
      <c r="J132" s="83"/>
      <c r="K132" s="83"/>
      <c r="L132" s="83"/>
      <c r="M132" s="6"/>
      <c r="N132" s="83"/>
      <c r="O132" s="83"/>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7"/>
    </row>
    <row r="133" ht="15.75" customHeight="1">
      <c r="A133" s="6"/>
      <c r="B133" s="6"/>
      <c r="C133" s="6"/>
      <c r="D133" s="6"/>
      <c r="E133" s="6"/>
      <c r="F133" s="6"/>
      <c r="G133" s="83"/>
      <c r="H133" s="83"/>
      <c r="I133" s="83"/>
      <c r="J133" s="83"/>
      <c r="K133" s="83"/>
      <c r="L133" s="83"/>
      <c r="M133" s="6"/>
      <c r="N133" s="83"/>
      <c r="O133" s="83"/>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7"/>
    </row>
    <row r="134" ht="15.75" customHeight="1">
      <c r="A134" s="6"/>
      <c r="B134" s="6"/>
      <c r="C134" s="6"/>
      <c r="D134" s="6"/>
      <c r="E134" s="6"/>
      <c r="F134" s="6"/>
      <c r="G134" s="83"/>
      <c r="H134" s="83"/>
      <c r="I134" s="83"/>
      <c r="J134" s="83"/>
      <c r="K134" s="83"/>
      <c r="L134" s="83"/>
      <c r="M134" s="6"/>
      <c r="N134" s="83"/>
      <c r="O134" s="83"/>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7"/>
    </row>
    <row r="135" ht="15.75" customHeight="1">
      <c r="A135" s="6"/>
      <c r="B135" s="6"/>
      <c r="C135" s="6"/>
      <c r="D135" s="6"/>
      <c r="E135" s="6"/>
      <c r="F135" s="6"/>
      <c r="G135" s="83"/>
      <c r="H135" s="83"/>
      <c r="I135" s="83"/>
      <c r="J135" s="83"/>
      <c r="K135" s="83"/>
      <c r="L135" s="83"/>
      <c r="M135" s="6"/>
      <c r="N135" s="83"/>
      <c r="O135" s="83"/>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7"/>
    </row>
    <row r="136" ht="15.75" customHeight="1">
      <c r="A136" s="6"/>
      <c r="B136" s="6"/>
      <c r="C136" s="6"/>
      <c r="D136" s="6"/>
      <c r="E136" s="6"/>
      <c r="F136" s="6"/>
      <c r="G136" s="83"/>
      <c r="H136" s="83"/>
      <c r="I136" s="83"/>
      <c r="J136" s="83"/>
      <c r="K136" s="83"/>
      <c r="L136" s="83"/>
      <c r="M136" s="6"/>
      <c r="N136" s="83"/>
      <c r="O136" s="83"/>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7"/>
    </row>
    <row r="137" ht="15.75" customHeight="1">
      <c r="A137" s="6"/>
      <c r="B137" s="6"/>
      <c r="C137" s="6"/>
      <c r="D137" s="6"/>
      <c r="E137" s="6"/>
      <c r="F137" s="6"/>
      <c r="G137" s="83"/>
      <c r="H137" s="83"/>
      <c r="I137" s="83"/>
      <c r="J137" s="83"/>
      <c r="K137" s="83"/>
      <c r="L137" s="83"/>
      <c r="M137" s="6"/>
      <c r="N137" s="83"/>
      <c r="O137" s="83"/>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7"/>
    </row>
    <row r="138" ht="15.75" customHeight="1">
      <c r="A138" s="6"/>
      <c r="B138" s="6"/>
      <c r="C138" s="6"/>
      <c r="D138" s="6"/>
      <c r="E138" s="6"/>
      <c r="F138" s="6"/>
      <c r="G138" s="83"/>
      <c r="H138" s="83"/>
      <c r="I138" s="83"/>
      <c r="J138" s="83"/>
      <c r="K138" s="83"/>
      <c r="L138" s="83"/>
      <c r="M138" s="6"/>
      <c r="N138" s="83"/>
      <c r="O138" s="83"/>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7"/>
    </row>
    <row r="139" ht="15.75" customHeight="1">
      <c r="A139" s="6"/>
      <c r="B139" s="6"/>
      <c r="C139" s="6"/>
      <c r="D139" s="6"/>
      <c r="E139" s="6"/>
      <c r="F139" s="6"/>
      <c r="G139" s="83"/>
      <c r="H139" s="83"/>
      <c r="I139" s="83"/>
      <c r="J139" s="83"/>
      <c r="K139" s="83"/>
      <c r="L139" s="83"/>
      <c r="M139" s="6"/>
      <c r="N139" s="83"/>
      <c r="O139" s="83"/>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7"/>
    </row>
    <row r="140" ht="15.75" customHeight="1">
      <c r="A140" s="6"/>
      <c r="B140" s="6"/>
      <c r="C140" s="6"/>
      <c r="D140" s="6"/>
      <c r="E140" s="6"/>
      <c r="F140" s="6"/>
      <c r="G140" s="83"/>
      <c r="H140" s="83"/>
      <c r="I140" s="83"/>
      <c r="J140" s="83"/>
      <c r="K140" s="83"/>
      <c r="L140" s="83"/>
      <c r="M140" s="6"/>
      <c r="N140" s="83"/>
      <c r="O140" s="83"/>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7"/>
    </row>
    <row r="141" ht="15.75" customHeight="1">
      <c r="A141" s="6"/>
      <c r="B141" s="6"/>
      <c r="C141" s="6"/>
      <c r="D141" s="6"/>
      <c r="E141" s="6"/>
      <c r="F141" s="6"/>
      <c r="G141" s="83"/>
      <c r="H141" s="83"/>
      <c r="I141" s="83"/>
      <c r="J141" s="83"/>
      <c r="K141" s="83"/>
      <c r="L141" s="83"/>
      <c r="M141" s="6"/>
      <c r="N141" s="83"/>
      <c r="O141" s="83"/>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7"/>
    </row>
    <row r="142" ht="15.75" customHeight="1">
      <c r="A142" s="6"/>
      <c r="B142" s="6"/>
      <c r="C142" s="6"/>
      <c r="D142" s="6"/>
      <c r="E142" s="6"/>
      <c r="F142" s="6"/>
      <c r="G142" s="83"/>
      <c r="H142" s="83"/>
      <c r="I142" s="83"/>
      <c r="J142" s="83"/>
      <c r="K142" s="83"/>
      <c r="L142" s="83"/>
      <c r="M142" s="6"/>
      <c r="N142" s="83"/>
      <c r="O142" s="83"/>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7"/>
    </row>
    <row r="143" ht="15.75" customHeight="1">
      <c r="A143" s="6"/>
      <c r="B143" s="6"/>
      <c r="C143" s="6"/>
      <c r="D143" s="6"/>
      <c r="E143" s="6"/>
      <c r="F143" s="6"/>
      <c r="G143" s="83"/>
      <c r="H143" s="83"/>
      <c r="I143" s="83"/>
      <c r="J143" s="83"/>
      <c r="K143" s="83"/>
      <c r="L143" s="83"/>
      <c r="M143" s="6"/>
      <c r="N143" s="83"/>
      <c r="O143" s="83"/>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7"/>
    </row>
    <row r="144" ht="15.75" customHeight="1">
      <c r="A144" s="6"/>
      <c r="B144" s="6"/>
      <c r="C144" s="6"/>
      <c r="D144" s="6"/>
      <c r="E144" s="6"/>
      <c r="F144" s="6"/>
      <c r="G144" s="83"/>
      <c r="H144" s="83"/>
      <c r="I144" s="83"/>
      <c r="J144" s="83"/>
      <c r="K144" s="83"/>
      <c r="L144" s="83"/>
      <c r="M144" s="6"/>
      <c r="N144" s="83"/>
      <c r="O144" s="83"/>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7"/>
    </row>
    <row r="145" ht="15.75" customHeight="1">
      <c r="A145" s="6"/>
      <c r="B145" s="6"/>
      <c r="C145" s="6"/>
      <c r="D145" s="6"/>
      <c r="E145" s="6"/>
      <c r="F145" s="6"/>
      <c r="G145" s="83"/>
      <c r="H145" s="83"/>
      <c r="I145" s="83"/>
      <c r="J145" s="83"/>
      <c r="K145" s="83"/>
      <c r="L145" s="83"/>
      <c r="M145" s="6"/>
      <c r="N145" s="83"/>
      <c r="O145" s="83"/>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7"/>
    </row>
    <row r="146" ht="15.75" customHeight="1">
      <c r="A146" s="6"/>
      <c r="B146" s="6"/>
      <c r="C146" s="6"/>
      <c r="D146" s="6"/>
      <c r="E146" s="6"/>
      <c r="F146" s="6"/>
      <c r="G146" s="83"/>
      <c r="H146" s="83"/>
      <c r="I146" s="83"/>
      <c r="J146" s="83"/>
      <c r="K146" s="83"/>
      <c r="L146" s="83"/>
      <c r="M146" s="6"/>
      <c r="N146" s="83"/>
      <c r="O146" s="83"/>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7"/>
    </row>
    <row r="147" ht="15.75" customHeight="1">
      <c r="A147" s="6"/>
      <c r="B147" s="6"/>
      <c r="C147" s="6"/>
      <c r="D147" s="6"/>
      <c r="E147" s="6"/>
      <c r="F147" s="6"/>
      <c r="G147" s="83"/>
      <c r="H147" s="83"/>
      <c r="I147" s="83"/>
      <c r="J147" s="83"/>
      <c r="K147" s="83"/>
      <c r="L147" s="83"/>
      <c r="M147" s="6"/>
      <c r="N147" s="83"/>
      <c r="O147" s="83"/>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7"/>
    </row>
    <row r="148" ht="15.75" customHeight="1">
      <c r="A148" s="6"/>
      <c r="B148" s="6"/>
      <c r="C148" s="6"/>
      <c r="D148" s="6"/>
      <c r="E148" s="6"/>
      <c r="F148" s="6"/>
      <c r="G148" s="83"/>
      <c r="H148" s="83"/>
      <c r="I148" s="83"/>
      <c r="J148" s="83"/>
      <c r="K148" s="83"/>
      <c r="L148" s="83"/>
      <c r="M148" s="6"/>
      <c r="N148" s="83"/>
      <c r="O148" s="83"/>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7"/>
    </row>
    <row r="149" ht="15.75" customHeight="1">
      <c r="A149" s="6"/>
      <c r="B149" s="6"/>
      <c r="C149" s="6"/>
      <c r="D149" s="6"/>
      <c r="E149" s="6"/>
      <c r="F149" s="6"/>
      <c r="G149" s="83"/>
      <c r="H149" s="83"/>
      <c r="I149" s="83"/>
      <c r="J149" s="83"/>
      <c r="K149" s="83"/>
      <c r="L149" s="83"/>
      <c r="M149" s="6"/>
      <c r="N149" s="83"/>
      <c r="O149" s="83"/>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7"/>
    </row>
    <row r="150" ht="15.75" customHeight="1">
      <c r="A150" s="6"/>
      <c r="B150" s="6"/>
      <c r="C150" s="6"/>
      <c r="D150" s="6"/>
      <c r="E150" s="6"/>
      <c r="F150" s="6"/>
      <c r="G150" s="83"/>
      <c r="H150" s="83"/>
      <c r="I150" s="83"/>
      <c r="J150" s="83"/>
      <c r="K150" s="83"/>
      <c r="L150" s="83"/>
      <c r="M150" s="6"/>
      <c r="N150" s="83"/>
      <c r="O150" s="83"/>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7"/>
    </row>
    <row r="151" ht="15.75" customHeight="1">
      <c r="A151" s="6"/>
      <c r="B151" s="6"/>
      <c r="C151" s="6"/>
      <c r="D151" s="6"/>
      <c r="E151" s="6"/>
      <c r="F151" s="6"/>
      <c r="G151" s="83"/>
      <c r="H151" s="83"/>
      <c r="I151" s="83"/>
      <c r="J151" s="83"/>
      <c r="K151" s="83"/>
      <c r="L151" s="83"/>
      <c r="M151" s="6"/>
      <c r="N151" s="83"/>
      <c r="O151" s="83"/>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7"/>
    </row>
    <row r="152" ht="15.75" customHeight="1">
      <c r="A152" s="6"/>
      <c r="B152" s="6"/>
      <c r="C152" s="6"/>
      <c r="D152" s="6"/>
      <c r="E152" s="6"/>
      <c r="F152" s="6"/>
      <c r="G152" s="83"/>
      <c r="H152" s="83"/>
      <c r="I152" s="83"/>
      <c r="J152" s="83"/>
      <c r="K152" s="83"/>
      <c r="L152" s="83"/>
      <c r="M152" s="6"/>
      <c r="N152" s="83"/>
      <c r="O152" s="83"/>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7"/>
    </row>
    <row r="153" ht="15.75" customHeight="1">
      <c r="A153" s="6"/>
      <c r="B153" s="6"/>
      <c r="C153" s="6"/>
      <c r="D153" s="6"/>
      <c r="E153" s="6"/>
      <c r="F153" s="6"/>
      <c r="G153" s="83"/>
      <c r="H153" s="83"/>
      <c r="I153" s="83"/>
      <c r="J153" s="83"/>
      <c r="K153" s="83"/>
      <c r="L153" s="83"/>
      <c r="M153" s="6"/>
      <c r="N153" s="83"/>
      <c r="O153" s="83"/>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7"/>
    </row>
    <row r="154" ht="15.75" customHeight="1">
      <c r="A154" s="6"/>
      <c r="B154" s="6"/>
      <c r="C154" s="6"/>
      <c r="D154" s="6"/>
      <c r="E154" s="6"/>
      <c r="F154" s="6"/>
      <c r="G154" s="83"/>
      <c r="H154" s="83"/>
      <c r="I154" s="83"/>
      <c r="J154" s="83"/>
      <c r="K154" s="83"/>
      <c r="L154" s="83"/>
      <c r="M154" s="6"/>
      <c r="N154" s="83"/>
      <c r="O154" s="83"/>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7"/>
    </row>
    <row r="155" ht="15.75" customHeight="1">
      <c r="A155" s="6"/>
      <c r="B155" s="6"/>
      <c r="C155" s="6"/>
      <c r="D155" s="6"/>
      <c r="E155" s="6"/>
      <c r="F155" s="6"/>
      <c r="G155" s="83"/>
      <c r="H155" s="83"/>
      <c r="I155" s="83"/>
      <c r="J155" s="83"/>
      <c r="K155" s="83"/>
      <c r="L155" s="83"/>
      <c r="M155" s="6"/>
      <c r="N155" s="83"/>
      <c r="O155" s="83"/>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7"/>
    </row>
    <row r="156" ht="15.75" customHeight="1">
      <c r="A156" s="6"/>
      <c r="B156" s="6"/>
      <c r="C156" s="6"/>
      <c r="D156" s="6"/>
      <c r="E156" s="6"/>
      <c r="F156" s="6"/>
      <c r="G156" s="83"/>
      <c r="H156" s="83"/>
      <c r="I156" s="83"/>
      <c r="J156" s="83"/>
      <c r="K156" s="83"/>
      <c r="L156" s="83"/>
      <c r="M156" s="6"/>
      <c r="N156" s="83"/>
      <c r="O156" s="83"/>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7"/>
    </row>
    <row r="157" ht="15.75" customHeight="1">
      <c r="A157" s="6"/>
      <c r="B157" s="6"/>
      <c r="C157" s="6"/>
      <c r="D157" s="6"/>
      <c r="E157" s="6"/>
      <c r="F157" s="6"/>
      <c r="G157" s="83"/>
      <c r="H157" s="83"/>
      <c r="I157" s="83"/>
      <c r="J157" s="83"/>
      <c r="K157" s="83"/>
      <c r="L157" s="83"/>
      <c r="M157" s="6"/>
      <c r="N157" s="83"/>
      <c r="O157" s="83"/>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7"/>
    </row>
    <row r="158" ht="15.75" customHeight="1">
      <c r="A158" s="6"/>
      <c r="B158" s="6"/>
      <c r="C158" s="6"/>
      <c r="D158" s="6"/>
      <c r="E158" s="6"/>
      <c r="F158" s="6"/>
      <c r="G158" s="83"/>
      <c r="H158" s="83"/>
      <c r="I158" s="83"/>
      <c r="J158" s="83"/>
      <c r="K158" s="83"/>
      <c r="L158" s="83"/>
      <c r="M158" s="6"/>
      <c r="N158" s="83"/>
      <c r="O158" s="83"/>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7"/>
    </row>
    <row r="159" ht="15.75" customHeight="1">
      <c r="A159" s="6"/>
      <c r="B159" s="6"/>
      <c r="C159" s="6"/>
      <c r="D159" s="6"/>
      <c r="E159" s="6"/>
      <c r="F159" s="6"/>
      <c r="G159" s="83"/>
      <c r="H159" s="83"/>
      <c r="I159" s="83"/>
      <c r="J159" s="83"/>
      <c r="K159" s="83"/>
      <c r="L159" s="83"/>
      <c r="M159" s="6"/>
      <c r="N159" s="83"/>
      <c r="O159" s="83"/>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7"/>
    </row>
    <row r="160" ht="15.75" customHeight="1">
      <c r="A160" s="6"/>
      <c r="B160" s="6"/>
      <c r="C160" s="6"/>
      <c r="D160" s="6"/>
      <c r="E160" s="6"/>
      <c r="F160" s="6"/>
      <c r="G160" s="83"/>
      <c r="H160" s="83"/>
      <c r="I160" s="83"/>
      <c r="J160" s="83"/>
      <c r="K160" s="83"/>
      <c r="L160" s="83"/>
      <c r="M160" s="6"/>
      <c r="N160" s="83"/>
      <c r="O160" s="83"/>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7"/>
    </row>
    <row r="161" ht="15.75" customHeight="1">
      <c r="A161" s="6"/>
      <c r="B161" s="6"/>
      <c r="C161" s="6"/>
      <c r="D161" s="6"/>
      <c r="E161" s="6"/>
      <c r="F161" s="6"/>
      <c r="G161" s="83"/>
      <c r="H161" s="83"/>
      <c r="I161" s="83"/>
      <c r="J161" s="83"/>
      <c r="K161" s="83"/>
      <c r="L161" s="83"/>
      <c r="M161" s="6"/>
      <c r="N161" s="83"/>
      <c r="O161" s="83"/>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7"/>
    </row>
    <row r="162" ht="15.75" customHeight="1">
      <c r="A162" s="6"/>
      <c r="B162" s="6"/>
      <c r="C162" s="6"/>
      <c r="D162" s="6"/>
      <c r="E162" s="6"/>
      <c r="F162" s="6"/>
      <c r="G162" s="83"/>
      <c r="H162" s="83"/>
      <c r="I162" s="83"/>
      <c r="J162" s="83"/>
      <c r="K162" s="83"/>
      <c r="L162" s="83"/>
      <c r="M162" s="6"/>
      <c r="N162" s="83"/>
      <c r="O162" s="83"/>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7"/>
    </row>
    <row r="163" ht="15.75" customHeight="1">
      <c r="A163" s="6"/>
      <c r="B163" s="6"/>
      <c r="C163" s="6"/>
      <c r="D163" s="6"/>
      <c r="E163" s="6"/>
      <c r="F163" s="6"/>
      <c r="G163" s="83"/>
      <c r="H163" s="83"/>
      <c r="I163" s="83"/>
      <c r="J163" s="83"/>
      <c r="K163" s="83"/>
      <c r="L163" s="83"/>
      <c r="M163" s="6"/>
      <c r="N163" s="83"/>
      <c r="O163" s="83"/>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7"/>
    </row>
    <row r="164" ht="15.75" customHeight="1">
      <c r="A164" s="6"/>
      <c r="B164" s="6"/>
      <c r="C164" s="6"/>
      <c r="D164" s="6"/>
      <c r="E164" s="6"/>
      <c r="F164" s="6"/>
      <c r="G164" s="83"/>
      <c r="H164" s="83"/>
      <c r="I164" s="83"/>
      <c r="J164" s="83"/>
      <c r="K164" s="83"/>
      <c r="L164" s="83"/>
      <c r="M164" s="6"/>
      <c r="N164" s="83"/>
      <c r="O164" s="83"/>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7"/>
    </row>
    <row r="165" ht="15.75" customHeight="1">
      <c r="A165" s="6"/>
      <c r="B165" s="6"/>
      <c r="C165" s="6"/>
      <c r="D165" s="6"/>
      <c r="E165" s="6"/>
      <c r="F165" s="6"/>
      <c r="G165" s="83"/>
      <c r="H165" s="83"/>
      <c r="I165" s="83"/>
      <c r="J165" s="83"/>
      <c r="K165" s="83"/>
      <c r="L165" s="83"/>
      <c r="M165" s="6"/>
      <c r="N165" s="83"/>
      <c r="O165" s="83"/>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7"/>
    </row>
    <row r="166" ht="15.75" customHeight="1">
      <c r="A166" s="6"/>
      <c r="B166" s="6"/>
      <c r="C166" s="6"/>
      <c r="D166" s="6"/>
      <c r="E166" s="6"/>
      <c r="F166" s="6"/>
      <c r="G166" s="83"/>
      <c r="H166" s="83"/>
      <c r="I166" s="83"/>
      <c r="J166" s="83"/>
      <c r="K166" s="83"/>
      <c r="L166" s="83"/>
      <c r="M166" s="6"/>
      <c r="N166" s="83"/>
      <c r="O166" s="83"/>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7"/>
    </row>
    <row r="167" ht="15.75" customHeight="1">
      <c r="A167" s="6"/>
      <c r="B167" s="6"/>
      <c r="C167" s="6"/>
      <c r="D167" s="6"/>
      <c r="E167" s="6"/>
      <c r="F167" s="6"/>
      <c r="G167" s="83"/>
      <c r="H167" s="83"/>
      <c r="I167" s="83"/>
      <c r="J167" s="83"/>
      <c r="K167" s="83"/>
      <c r="L167" s="83"/>
      <c r="M167" s="6"/>
      <c r="N167" s="83"/>
      <c r="O167" s="83"/>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7"/>
    </row>
    <row r="168" ht="15.75" customHeight="1">
      <c r="A168" s="6"/>
      <c r="B168" s="6"/>
      <c r="C168" s="6"/>
      <c r="D168" s="6"/>
      <c r="E168" s="6"/>
      <c r="F168" s="6"/>
      <c r="G168" s="83"/>
      <c r="H168" s="83"/>
      <c r="I168" s="83"/>
      <c r="J168" s="83"/>
      <c r="K168" s="83"/>
      <c r="L168" s="83"/>
      <c r="M168" s="6"/>
      <c r="N168" s="83"/>
      <c r="O168" s="83"/>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7"/>
    </row>
    <row r="169" ht="15.75" customHeight="1">
      <c r="A169" s="6"/>
      <c r="B169" s="6"/>
      <c r="C169" s="6"/>
      <c r="D169" s="6"/>
      <c r="E169" s="6"/>
      <c r="F169" s="6"/>
      <c r="G169" s="83"/>
      <c r="H169" s="83"/>
      <c r="I169" s="83"/>
      <c r="J169" s="83"/>
      <c r="K169" s="83"/>
      <c r="L169" s="83"/>
      <c r="M169" s="6"/>
      <c r="N169" s="83"/>
      <c r="O169" s="83"/>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7"/>
    </row>
    <row r="170" ht="15.75" customHeight="1">
      <c r="A170" s="6"/>
      <c r="B170" s="6"/>
      <c r="C170" s="6"/>
      <c r="D170" s="6"/>
      <c r="E170" s="6"/>
      <c r="F170" s="6"/>
      <c r="G170" s="83"/>
      <c r="H170" s="83"/>
      <c r="I170" s="83"/>
      <c r="J170" s="83"/>
      <c r="K170" s="83"/>
      <c r="L170" s="83"/>
      <c r="M170" s="6"/>
      <c r="N170" s="83"/>
      <c r="O170" s="83"/>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7"/>
    </row>
    <row r="171" ht="15.75" customHeight="1">
      <c r="A171" s="6"/>
      <c r="B171" s="6"/>
      <c r="C171" s="6"/>
      <c r="D171" s="6"/>
      <c r="E171" s="6"/>
      <c r="F171" s="6"/>
      <c r="G171" s="83"/>
      <c r="H171" s="83"/>
      <c r="I171" s="83"/>
      <c r="J171" s="83"/>
      <c r="K171" s="83"/>
      <c r="L171" s="83"/>
      <c r="M171" s="6"/>
      <c r="N171" s="83"/>
      <c r="O171" s="83"/>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7"/>
    </row>
    <row r="172" ht="15.75" customHeight="1">
      <c r="A172" s="6"/>
      <c r="B172" s="6"/>
      <c r="C172" s="6"/>
      <c r="D172" s="6"/>
      <c r="E172" s="6"/>
      <c r="F172" s="6"/>
      <c r="G172" s="83"/>
      <c r="H172" s="83"/>
      <c r="I172" s="83"/>
      <c r="J172" s="83"/>
      <c r="K172" s="83"/>
      <c r="L172" s="83"/>
      <c r="M172" s="6"/>
      <c r="N172" s="83"/>
      <c r="O172" s="83"/>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7"/>
    </row>
    <row r="173" ht="15.75" customHeight="1">
      <c r="A173" s="6"/>
      <c r="B173" s="6"/>
      <c r="C173" s="6"/>
      <c r="D173" s="6"/>
      <c r="E173" s="6"/>
      <c r="F173" s="6"/>
      <c r="G173" s="83"/>
      <c r="H173" s="83"/>
      <c r="I173" s="83"/>
      <c r="J173" s="83"/>
      <c r="K173" s="83"/>
      <c r="L173" s="83"/>
      <c r="M173" s="6"/>
      <c r="N173" s="83"/>
      <c r="O173" s="83"/>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7"/>
    </row>
    <row r="174" ht="15.75" customHeight="1">
      <c r="A174" s="6"/>
      <c r="B174" s="6"/>
      <c r="C174" s="6"/>
      <c r="D174" s="6"/>
      <c r="E174" s="6"/>
      <c r="F174" s="6"/>
      <c r="G174" s="83"/>
      <c r="H174" s="83"/>
      <c r="I174" s="83"/>
      <c r="J174" s="83"/>
      <c r="K174" s="83"/>
      <c r="L174" s="83"/>
      <c r="M174" s="6"/>
      <c r="N174" s="83"/>
      <c r="O174" s="83"/>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7"/>
    </row>
    <row r="175" ht="15.75" customHeight="1">
      <c r="A175" s="6"/>
      <c r="B175" s="6"/>
      <c r="C175" s="6"/>
      <c r="D175" s="6"/>
      <c r="E175" s="6"/>
      <c r="F175" s="6"/>
      <c r="G175" s="83"/>
      <c r="H175" s="83"/>
      <c r="I175" s="83"/>
      <c r="J175" s="83"/>
      <c r="K175" s="83"/>
      <c r="L175" s="83"/>
      <c r="M175" s="6"/>
      <c r="N175" s="83"/>
      <c r="O175" s="83"/>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7"/>
    </row>
    <row r="176" ht="15.75" customHeight="1">
      <c r="A176" s="6"/>
      <c r="B176" s="6"/>
      <c r="C176" s="6"/>
      <c r="D176" s="6"/>
      <c r="E176" s="6"/>
      <c r="F176" s="6"/>
      <c r="G176" s="83"/>
      <c r="H176" s="83"/>
      <c r="I176" s="83"/>
      <c r="J176" s="83"/>
      <c r="K176" s="83"/>
      <c r="L176" s="83"/>
      <c r="M176" s="6"/>
      <c r="N176" s="83"/>
      <c r="O176" s="83"/>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7"/>
    </row>
    <row r="177" ht="15.75" customHeight="1">
      <c r="A177" s="6"/>
      <c r="B177" s="6"/>
      <c r="C177" s="6"/>
      <c r="D177" s="6"/>
      <c r="E177" s="6"/>
      <c r="F177" s="6"/>
      <c r="G177" s="83"/>
      <c r="H177" s="83"/>
      <c r="I177" s="83"/>
      <c r="J177" s="83"/>
      <c r="K177" s="83"/>
      <c r="L177" s="83"/>
      <c r="M177" s="6"/>
      <c r="N177" s="83"/>
      <c r="O177" s="83"/>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7"/>
    </row>
    <row r="178" ht="15.75" customHeight="1">
      <c r="A178" s="6"/>
      <c r="B178" s="6"/>
      <c r="C178" s="6"/>
      <c r="D178" s="6"/>
      <c r="E178" s="6"/>
      <c r="F178" s="6"/>
      <c r="G178" s="83"/>
      <c r="H178" s="83"/>
      <c r="I178" s="83"/>
      <c r="J178" s="83"/>
      <c r="K178" s="83"/>
      <c r="L178" s="83"/>
      <c r="M178" s="6"/>
      <c r="N178" s="83"/>
      <c r="O178" s="83"/>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7"/>
    </row>
    <row r="179" ht="15.75" customHeight="1">
      <c r="A179" s="6"/>
      <c r="B179" s="6"/>
      <c r="C179" s="6"/>
      <c r="D179" s="6"/>
      <c r="E179" s="6"/>
      <c r="F179" s="6"/>
      <c r="G179" s="83"/>
      <c r="H179" s="83"/>
      <c r="I179" s="83"/>
      <c r="J179" s="83"/>
      <c r="K179" s="83"/>
      <c r="L179" s="83"/>
      <c r="M179" s="6"/>
      <c r="N179" s="83"/>
      <c r="O179" s="83"/>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7"/>
    </row>
    <row r="180" ht="15.75" customHeight="1">
      <c r="A180" s="6"/>
      <c r="B180" s="6"/>
      <c r="C180" s="6"/>
      <c r="D180" s="6"/>
      <c r="E180" s="6"/>
      <c r="F180" s="6"/>
      <c r="G180" s="83"/>
      <c r="H180" s="83"/>
      <c r="I180" s="83"/>
      <c r="J180" s="83"/>
      <c r="K180" s="83"/>
      <c r="L180" s="83"/>
      <c r="M180" s="6"/>
      <c r="N180" s="83"/>
      <c r="O180" s="83"/>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7"/>
    </row>
    <row r="181" ht="15.75" customHeight="1">
      <c r="A181" s="6"/>
      <c r="B181" s="6"/>
      <c r="C181" s="6"/>
      <c r="D181" s="6"/>
      <c r="E181" s="6"/>
      <c r="F181" s="6"/>
      <c r="G181" s="83"/>
      <c r="H181" s="83"/>
      <c r="I181" s="83"/>
      <c r="J181" s="83"/>
      <c r="K181" s="83"/>
      <c r="L181" s="83"/>
      <c r="M181" s="6"/>
      <c r="N181" s="83"/>
      <c r="O181" s="83"/>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7"/>
    </row>
    <row r="182" ht="15.75" customHeight="1">
      <c r="A182" s="6"/>
      <c r="B182" s="6"/>
      <c r="C182" s="6"/>
      <c r="D182" s="6"/>
      <c r="E182" s="6"/>
      <c r="F182" s="6"/>
      <c r="G182" s="83"/>
      <c r="H182" s="83"/>
      <c r="I182" s="83"/>
      <c r="J182" s="83"/>
      <c r="K182" s="83"/>
      <c r="L182" s="83"/>
      <c r="M182" s="6"/>
      <c r="N182" s="83"/>
      <c r="O182" s="83"/>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7"/>
    </row>
    <row r="183" ht="15.75" customHeight="1">
      <c r="A183" s="6"/>
      <c r="B183" s="6"/>
      <c r="C183" s="6"/>
      <c r="D183" s="6"/>
      <c r="E183" s="6"/>
      <c r="F183" s="6"/>
      <c r="G183" s="83"/>
      <c r="H183" s="83"/>
      <c r="I183" s="83"/>
      <c r="J183" s="83"/>
      <c r="K183" s="83"/>
      <c r="L183" s="83"/>
      <c r="M183" s="6"/>
      <c r="N183" s="83"/>
      <c r="O183" s="83"/>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7"/>
    </row>
    <row r="184" ht="15.75" customHeight="1">
      <c r="A184" s="6"/>
      <c r="B184" s="6"/>
      <c r="C184" s="6"/>
      <c r="D184" s="6"/>
      <c r="E184" s="6"/>
      <c r="F184" s="6"/>
      <c r="G184" s="83"/>
      <c r="H184" s="83"/>
      <c r="I184" s="83"/>
      <c r="J184" s="83"/>
      <c r="K184" s="83"/>
      <c r="L184" s="83"/>
      <c r="M184" s="6"/>
      <c r="N184" s="83"/>
      <c r="O184" s="83"/>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7"/>
    </row>
    <row r="185" ht="15.75" customHeight="1">
      <c r="A185" s="6"/>
      <c r="B185" s="6"/>
      <c r="C185" s="6"/>
      <c r="D185" s="6"/>
      <c r="E185" s="6"/>
      <c r="F185" s="6"/>
      <c r="G185" s="83"/>
      <c r="H185" s="83"/>
      <c r="I185" s="83"/>
      <c r="J185" s="83"/>
      <c r="K185" s="83"/>
      <c r="L185" s="83"/>
      <c r="M185" s="6"/>
      <c r="N185" s="83"/>
      <c r="O185" s="83"/>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7"/>
    </row>
    <row r="186" ht="15.75" customHeight="1">
      <c r="A186" s="6"/>
      <c r="B186" s="6"/>
      <c r="C186" s="6"/>
      <c r="D186" s="6"/>
      <c r="E186" s="6"/>
      <c r="F186" s="6"/>
      <c r="G186" s="83"/>
      <c r="H186" s="83"/>
      <c r="I186" s="83"/>
      <c r="J186" s="83"/>
      <c r="K186" s="83"/>
      <c r="L186" s="83"/>
      <c r="M186" s="6"/>
      <c r="N186" s="83"/>
      <c r="O186" s="83"/>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7"/>
    </row>
    <row r="187" ht="15.75" customHeight="1">
      <c r="A187" s="6"/>
      <c r="B187" s="6"/>
      <c r="C187" s="6"/>
      <c r="D187" s="6"/>
      <c r="E187" s="6"/>
      <c r="F187" s="6"/>
      <c r="G187" s="83"/>
      <c r="H187" s="83"/>
      <c r="I187" s="83"/>
      <c r="J187" s="83"/>
      <c r="K187" s="83"/>
      <c r="L187" s="83"/>
      <c r="M187" s="6"/>
      <c r="N187" s="83"/>
      <c r="O187" s="83"/>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7"/>
    </row>
    <row r="188" ht="15.75" customHeight="1">
      <c r="A188" s="6"/>
      <c r="B188" s="6"/>
      <c r="C188" s="6"/>
      <c r="D188" s="6"/>
      <c r="E188" s="6"/>
      <c r="F188" s="6"/>
      <c r="G188" s="83"/>
      <c r="H188" s="83"/>
      <c r="I188" s="83"/>
      <c r="J188" s="83"/>
      <c r="K188" s="83"/>
      <c r="L188" s="83"/>
      <c r="M188" s="6"/>
      <c r="N188" s="83"/>
      <c r="O188" s="83"/>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7"/>
    </row>
    <row r="189" ht="15.75" customHeight="1">
      <c r="A189" s="6"/>
      <c r="B189" s="6"/>
      <c r="C189" s="6"/>
      <c r="D189" s="6"/>
      <c r="E189" s="6"/>
      <c r="F189" s="6"/>
      <c r="G189" s="83"/>
      <c r="H189" s="83"/>
      <c r="I189" s="83"/>
      <c r="J189" s="83"/>
      <c r="K189" s="83"/>
      <c r="L189" s="83"/>
      <c r="M189" s="6"/>
      <c r="N189" s="83"/>
      <c r="O189" s="83"/>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7"/>
    </row>
    <row r="190" ht="15.75" customHeight="1">
      <c r="A190" s="6"/>
      <c r="B190" s="6"/>
      <c r="C190" s="6"/>
      <c r="D190" s="6"/>
      <c r="E190" s="6"/>
      <c r="F190" s="6"/>
      <c r="G190" s="83"/>
      <c r="H190" s="83"/>
      <c r="I190" s="83"/>
      <c r="J190" s="83"/>
      <c r="K190" s="83"/>
      <c r="L190" s="83"/>
      <c r="M190" s="6"/>
      <c r="N190" s="83"/>
      <c r="O190" s="83"/>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7"/>
    </row>
    <row r="191" ht="15.75" customHeight="1">
      <c r="A191" s="6"/>
      <c r="B191" s="6"/>
      <c r="C191" s="6"/>
      <c r="D191" s="6"/>
      <c r="E191" s="6"/>
      <c r="F191" s="6"/>
      <c r="G191" s="83"/>
      <c r="H191" s="83"/>
      <c r="I191" s="83"/>
      <c r="J191" s="83"/>
      <c r="K191" s="83"/>
      <c r="L191" s="83"/>
      <c r="M191" s="6"/>
      <c r="N191" s="83"/>
      <c r="O191" s="83"/>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7"/>
    </row>
    <row r="192" ht="15.75" customHeight="1">
      <c r="A192" s="6"/>
      <c r="B192" s="6"/>
      <c r="C192" s="6"/>
      <c r="D192" s="6"/>
      <c r="E192" s="6"/>
      <c r="F192" s="6"/>
      <c r="G192" s="83"/>
      <c r="H192" s="83"/>
      <c r="I192" s="83"/>
      <c r="J192" s="83"/>
      <c r="K192" s="83"/>
      <c r="L192" s="83"/>
      <c r="M192" s="6"/>
      <c r="N192" s="83"/>
      <c r="O192" s="83"/>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7"/>
    </row>
    <row r="193" ht="15.75" customHeight="1">
      <c r="A193" s="6"/>
      <c r="B193" s="6"/>
      <c r="C193" s="6"/>
      <c r="D193" s="6"/>
      <c r="E193" s="6"/>
      <c r="F193" s="6"/>
      <c r="G193" s="83"/>
      <c r="H193" s="83"/>
      <c r="I193" s="83"/>
      <c r="J193" s="83"/>
      <c r="K193" s="83"/>
      <c r="L193" s="83"/>
      <c r="M193" s="6"/>
      <c r="N193" s="83"/>
      <c r="O193" s="83"/>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7"/>
    </row>
    <row r="194" ht="15.75" customHeight="1">
      <c r="A194" s="6"/>
      <c r="B194" s="6"/>
      <c r="C194" s="6"/>
      <c r="D194" s="6"/>
      <c r="E194" s="6"/>
      <c r="F194" s="6"/>
      <c r="G194" s="83"/>
      <c r="H194" s="83"/>
      <c r="I194" s="83"/>
      <c r="J194" s="83"/>
      <c r="K194" s="83"/>
      <c r="L194" s="83"/>
      <c r="M194" s="6"/>
      <c r="N194" s="83"/>
      <c r="O194" s="83"/>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7"/>
    </row>
    <row r="195" ht="15.75" customHeight="1">
      <c r="A195" s="6"/>
      <c r="B195" s="6"/>
      <c r="C195" s="6"/>
      <c r="D195" s="6"/>
      <c r="E195" s="6"/>
      <c r="F195" s="6"/>
      <c r="G195" s="83"/>
      <c r="H195" s="83"/>
      <c r="I195" s="83"/>
      <c r="J195" s="83"/>
      <c r="K195" s="83"/>
      <c r="L195" s="83"/>
      <c r="M195" s="6"/>
      <c r="N195" s="83"/>
      <c r="O195" s="83"/>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7"/>
    </row>
    <row r="196" ht="15.75" customHeight="1">
      <c r="A196" s="6"/>
      <c r="B196" s="6"/>
      <c r="C196" s="6"/>
      <c r="D196" s="6"/>
      <c r="E196" s="6"/>
      <c r="F196" s="6"/>
      <c r="G196" s="83"/>
      <c r="H196" s="83"/>
      <c r="I196" s="83"/>
      <c r="J196" s="83"/>
      <c r="K196" s="83"/>
      <c r="L196" s="83"/>
      <c r="M196" s="6"/>
      <c r="N196" s="83"/>
      <c r="O196" s="83"/>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7"/>
    </row>
    <row r="197" ht="15.75" customHeight="1">
      <c r="A197" s="6"/>
      <c r="B197" s="6"/>
      <c r="C197" s="6"/>
      <c r="D197" s="6"/>
      <c r="E197" s="6"/>
      <c r="F197" s="6"/>
      <c r="G197" s="83"/>
      <c r="H197" s="83"/>
      <c r="I197" s="83"/>
      <c r="J197" s="83"/>
      <c r="K197" s="83"/>
      <c r="L197" s="83"/>
      <c r="M197" s="6"/>
      <c r="N197" s="83"/>
      <c r="O197" s="83"/>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7"/>
    </row>
    <row r="198" ht="15.75" customHeight="1">
      <c r="A198" s="6"/>
      <c r="B198" s="6"/>
      <c r="C198" s="6"/>
      <c r="D198" s="6"/>
      <c r="E198" s="6"/>
      <c r="F198" s="6"/>
      <c r="G198" s="83"/>
      <c r="H198" s="83"/>
      <c r="I198" s="83"/>
      <c r="J198" s="83"/>
      <c r="K198" s="83"/>
      <c r="L198" s="83"/>
      <c r="M198" s="6"/>
      <c r="N198" s="83"/>
      <c r="O198" s="83"/>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7"/>
    </row>
    <row r="199" ht="15.75" customHeight="1">
      <c r="A199" s="6"/>
      <c r="B199" s="6"/>
      <c r="C199" s="6"/>
      <c r="D199" s="6"/>
      <c r="E199" s="6"/>
      <c r="F199" s="6"/>
      <c r="G199" s="83"/>
      <c r="H199" s="83"/>
      <c r="I199" s="83"/>
      <c r="J199" s="83"/>
      <c r="K199" s="83"/>
      <c r="L199" s="83"/>
      <c r="M199" s="6"/>
      <c r="N199" s="83"/>
      <c r="O199" s="83"/>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7"/>
    </row>
    <row r="200" ht="15.75" customHeight="1">
      <c r="A200" s="6"/>
      <c r="B200" s="6"/>
      <c r="C200" s="6"/>
      <c r="D200" s="6"/>
      <c r="E200" s="6"/>
      <c r="F200" s="6"/>
      <c r="G200" s="83"/>
      <c r="H200" s="83"/>
      <c r="I200" s="83"/>
      <c r="J200" s="83"/>
      <c r="K200" s="83"/>
      <c r="L200" s="83"/>
      <c r="M200" s="6"/>
      <c r="N200" s="83"/>
      <c r="O200" s="83"/>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7"/>
    </row>
    <row r="201" ht="15.75" customHeight="1">
      <c r="A201" s="6"/>
      <c r="B201" s="6"/>
      <c r="C201" s="6"/>
      <c r="D201" s="6"/>
      <c r="E201" s="6"/>
      <c r="F201" s="6"/>
      <c r="G201" s="83"/>
      <c r="H201" s="83"/>
      <c r="I201" s="83"/>
      <c r="J201" s="83"/>
      <c r="K201" s="83"/>
      <c r="L201" s="83"/>
      <c r="M201" s="6"/>
      <c r="N201" s="83"/>
      <c r="O201" s="83"/>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7"/>
    </row>
    <row r="202" ht="15.75" customHeight="1">
      <c r="A202" s="6"/>
      <c r="B202" s="6"/>
      <c r="C202" s="6"/>
      <c r="D202" s="6"/>
      <c r="E202" s="6"/>
      <c r="F202" s="6"/>
      <c r="G202" s="83"/>
      <c r="H202" s="83"/>
      <c r="I202" s="83"/>
      <c r="J202" s="83"/>
      <c r="K202" s="83"/>
      <c r="L202" s="83"/>
      <c r="M202" s="6"/>
      <c r="N202" s="83"/>
      <c r="O202" s="83"/>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7"/>
    </row>
    <row r="203" ht="15.75" customHeight="1">
      <c r="A203" s="6"/>
      <c r="B203" s="6"/>
      <c r="C203" s="6"/>
      <c r="D203" s="6"/>
      <c r="E203" s="6"/>
      <c r="F203" s="6"/>
      <c r="G203" s="83"/>
      <c r="H203" s="83"/>
      <c r="I203" s="83"/>
      <c r="J203" s="83"/>
      <c r="K203" s="83"/>
      <c r="L203" s="83"/>
      <c r="M203" s="6"/>
      <c r="N203" s="83"/>
      <c r="O203" s="83"/>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7"/>
    </row>
    <row r="204" ht="15.75" customHeight="1">
      <c r="A204" s="6"/>
      <c r="B204" s="6"/>
      <c r="C204" s="6"/>
      <c r="D204" s="6"/>
      <c r="E204" s="6"/>
      <c r="F204" s="6"/>
      <c r="G204" s="83"/>
      <c r="H204" s="83"/>
      <c r="I204" s="83"/>
      <c r="J204" s="83"/>
      <c r="K204" s="83"/>
      <c r="L204" s="83"/>
      <c r="M204" s="6"/>
      <c r="N204" s="83"/>
      <c r="O204" s="83"/>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7"/>
    </row>
    <row r="205" ht="15.75" customHeight="1">
      <c r="A205" s="6"/>
      <c r="B205" s="6"/>
      <c r="C205" s="6"/>
      <c r="D205" s="6"/>
      <c r="E205" s="6"/>
      <c r="F205" s="6"/>
      <c r="G205" s="83"/>
      <c r="H205" s="83"/>
      <c r="I205" s="83"/>
      <c r="J205" s="83"/>
      <c r="K205" s="83"/>
      <c r="L205" s="83"/>
      <c r="M205" s="6"/>
      <c r="N205" s="83"/>
      <c r="O205" s="83"/>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7"/>
    </row>
    <row r="206" ht="15.75" customHeight="1">
      <c r="A206" s="6"/>
      <c r="B206" s="6"/>
      <c r="C206" s="6"/>
      <c r="D206" s="6"/>
      <c r="E206" s="6"/>
      <c r="F206" s="6"/>
      <c r="G206" s="83"/>
      <c r="H206" s="83"/>
      <c r="I206" s="83"/>
      <c r="J206" s="83"/>
      <c r="K206" s="83"/>
      <c r="L206" s="83"/>
      <c r="M206" s="6"/>
      <c r="N206" s="83"/>
      <c r="O206" s="83"/>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7"/>
    </row>
    <row r="207" ht="15.75" customHeight="1">
      <c r="A207" s="6"/>
      <c r="B207" s="6"/>
      <c r="C207" s="6"/>
      <c r="D207" s="6"/>
      <c r="E207" s="6"/>
      <c r="F207" s="6"/>
      <c r="G207" s="83"/>
      <c r="H207" s="83"/>
      <c r="I207" s="83"/>
      <c r="J207" s="83"/>
      <c r="K207" s="83"/>
      <c r="L207" s="83"/>
      <c r="M207" s="6"/>
      <c r="N207" s="83"/>
      <c r="O207" s="83"/>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7"/>
    </row>
    <row r="208" ht="15.75" customHeight="1">
      <c r="A208" s="6"/>
      <c r="B208" s="6"/>
      <c r="C208" s="6"/>
      <c r="D208" s="6"/>
      <c r="E208" s="6"/>
      <c r="F208" s="6"/>
      <c r="G208" s="83"/>
      <c r="H208" s="83"/>
      <c r="I208" s="83"/>
      <c r="J208" s="83"/>
      <c r="K208" s="83"/>
      <c r="L208" s="83"/>
      <c r="M208" s="6"/>
      <c r="N208" s="83"/>
      <c r="O208" s="83"/>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7"/>
    </row>
    <row r="209" ht="15.75" customHeight="1">
      <c r="A209" s="6"/>
      <c r="B209" s="6"/>
      <c r="C209" s="6"/>
      <c r="D209" s="6"/>
      <c r="E209" s="6"/>
      <c r="F209" s="6"/>
      <c r="G209" s="83"/>
      <c r="H209" s="83"/>
      <c r="I209" s="83"/>
      <c r="J209" s="83"/>
      <c r="K209" s="83"/>
      <c r="L209" s="83"/>
      <c r="M209" s="6"/>
      <c r="N209" s="83"/>
      <c r="O209" s="83"/>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7"/>
    </row>
    <row r="210" ht="15.75" customHeight="1">
      <c r="A210" s="6"/>
      <c r="B210" s="6"/>
      <c r="C210" s="6"/>
      <c r="D210" s="6"/>
      <c r="E210" s="6"/>
      <c r="F210" s="6"/>
      <c r="G210" s="83"/>
      <c r="H210" s="83"/>
      <c r="I210" s="83"/>
      <c r="J210" s="83"/>
      <c r="K210" s="83"/>
      <c r="L210" s="83"/>
      <c r="M210" s="6"/>
      <c r="N210" s="83"/>
      <c r="O210" s="83"/>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7"/>
    </row>
    <row r="211" ht="15.75" customHeight="1">
      <c r="A211" s="6"/>
      <c r="B211" s="6"/>
      <c r="C211" s="6"/>
      <c r="D211" s="6"/>
      <c r="E211" s="6"/>
      <c r="F211" s="6"/>
      <c r="G211" s="83"/>
      <c r="H211" s="83"/>
      <c r="I211" s="83"/>
      <c r="J211" s="83"/>
      <c r="K211" s="83"/>
      <c r="L211" s="83"/>
      <c r="M211" s="6"/>
      <c r="N211" s="83"/>
      <c r="O211" s="83"/>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7"/>
    </row>
    <row r="212" ht="15.75" customHeight="1">
      <c r="A212" s="6"/>
      <c r="B212" s="6"/>
      <c r="C212" s="6"/>
      <c r="D212" s="6"/>
      <c r="E212" s="6"/>
      <c r="F212" s="6"/>
      <c r="G212" s="83"/>
      <c r="H212" s="83"/>
      <c r="I212" s="83"/>
      <c r="J212" s="83"/>
      <c r="K212" s="83"/>
      <c r="L212" s="83"/>
      <c r="M212" s="6"/>
      <c r="N212" s="83"/>
      <c r="O212" s="83"/>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7"/>
    </row>
    <row r="213" ht="15.75" customHeight="1">
      <c r="A213" s="6"/>
      <c r="B213" s="6"/>
      <c r="C213" s="6"/>
      <c r="D213" s="6"/>
      <c r="E213" s="6"/>
      <c r="F213" s="6"/>
      <c r="G213" s="83"/>
      <c r="H213" s="83"/>
      <c r="I213" s="83"/>
      <c r="J213" s="83"/>
      <c r="K213" s="83"/>
      <c r="L213" s="83"/>
      <c r="M213" s="6"/>
      <c r="N213" s="83"/>
      <c r="O213" s="83"/>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7"/>
    </row>
    <row r="214" ht="15.75" customHeight="1">
      <c r="A214" s="6"/>
      <c r="B214" s="6"/>
      <c r="C214" s="6"/>
      <c r="D214" s="6"/>
      <c r="E214" s="6"/>
      <c r="F214" s="6"/>
      <c r="G214" s="83"/>
      <c r="H214" s="83"/>
      <c r="I214" s="83"/>
      <c r="J214" s="83"/>
      <c r="K214" s="83"/>
      <c r="L214" s="83"/>
      <c r="M214" s="6"/>
      <c r="N214" s="83"/>
      <c r="O214" s="83"/>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7"/>
    </row>
    <row r="215" ht="15.75" customHeight="1">
      <c r="A215" s="6"/>
      <c r="B215" s="6"/>
      <c r="C215" s="6"/>
      <c r="D215" s="6"/>
      <c r="E215" s="6"/>
      <c r="F215" s="6"/>
      <c r="G215" s="83"/>
      <c r="H215" s="83"/>
      <c r="I215" s="83"/>
      <c r="J215" s="83"/>
      <c r="K215" s="83"/>
      <c r="L215" s="83"/>
      <c r="M215" s="6"/>
      <c r="N215" s="83"/>
      <c r="O215" s="83"/>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7"/>
    </row>
    <row r="216" ht="15.75" customHeight="1">
      <c r="A216" s="6"/>
      <c r="B216" s="6"/>
      <c r="C216" s="6"/>
      <c r="D216" s="6"/>
      <c r="E216" s="6"/>
      <c r="F216" s="6"/>
      <c r="G216" s="83"/>
      <c r="H216" s="83"/>
      <c r="I216" s="83"/>
      <c r="J216" s="83"/>
      <c r="K216" s="83"/>
      <c r="L216" s="83"/>
      <c r="M216" s="6"/>
      <c r="N216" s="83"/>
      <c r="O216" s="83"/>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7"/>
    </row>
    <row r="217" ht="15.75" customHeight="1">
      <c r="A217" s="6"/>
      <c r="B217" s="6"/>
      <c r="C217" s="6"/>
      <c r="D217" s="6"/>
      <c r="E217" s="6"/>
      <c r="F217" s="6"/>
      <c r="G217" s="83"/>
      <c r="H217" s="83"/>
      <c r="I217" s="83"/>
      <c r="J217" s="83"/>
      <c r="K217" s="83"/>
      <c r="L217" s="83"/>
      <c r="M217" s="6"/>
      <c r="N217" s="83"/>
      <c r="O217" s="83"/>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7"/>
    </row>
    <row r="218" ht="15.75" customHeight="1">
      <c r="A218" s="6"/>
      <c r="B218" s="6"/>
      <c r="C218" s="6"/>
      <c r="D218" s="6"/>
      <c r="E218" s="6"/>
      <c r="F218" s="6"/>
      <c r="G218" s="83"/>
      <c r="H218" s="83"/>
      <c r="I218" s="83"/>
      <c r="J218" s="83"/>
      <c r="K218" s="83"/>
      <c r="L218" s="83"/>
      <c r="M218" s="6"/>
      <c r="N218" s="83"/>
      <c r="O218" s="83"/>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7"/>
    </row>
    <row r="219" ht="15.75" customHeight="1">
      <c r="A219" s="6"/>
      <c r="B219" s="6"/>
      <c r="C219" s="6"/>
      <c r="D219" s="6"/>
      <c r="E219" s="6"/>
      <c r="F219" s="6"/>
      <c r="G219" s="83"/>
      <c r="H219" s="83"/>
      <c r="I219" s="83"/>
      <c r="J219" s="83"/>
      <c r="K219" s="83"/>
      <c r="L219" s="83"/>
      <c r="M219" s="6"/>
      <c r="N219" s="83"/>
      <c r="O219" s="83"/>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7"/>
    </row>
    <row r="220" ht="15.75" customHeight="1">
      <c r="A220" s="6"/>
      <c r="B220" s="6"/>
      <c r="C220" s="6"/>
      <c r="D220" s="6"/>
      <c r="E220" s="6"/>
      <c r="F220" s="6"/>
      <c r="G220" s="83"/>
      <c r="H220" s="83"/>
      <c r="I220" s="83"/>
      <c r="J220" s="83"/>
      <c r="K220" s="83"/>
      <c r="L220" s="83"/>
      <c r="M220" s="6"/>
      <c r="N220" s="83"/>
      <c r="O220" s="83"/>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7"/>
    </row>
    <row r="221" ht="15.75" customHeight="1">
      <c r="A221" s="6"/>
      <c r="B221" s="6"/>
      <c r="C221" s="6"/>
      <c r="D221" s="6"/>
      <c r="E221" s="6"/>
      <c r="F221" s="6"/>
      <c r="G221" s="83"/>
      <c r="H221" s="83"/>
      <c r="I221" s="83"/>
      <c r="J221" s="83"/>
      <c r="K221" s="83"/>
      <c r="L221" s="83"/>
      <c r="M221" s="6"/>
      <c r="N221" s="83"/>
      <c r="O221" s="83"/>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7"/>
    </row>
    <row r="222" ht="15.75" customHeight="1">
      <c r="A222" s="6"/>
      <c r="B222" s="6"/>
      <c r="C222" s="6"/>
      <c r="D222" s="6"/>
      <c r="E222" s="6"/>
      <c r="F222" s="6"/>
      <c r="G222" s="83"/>
      <c r="H222" s="83"/>
      <c r="I222" s="83"/>
      <c r="J222" s="83"/>
      <c r="K222" s="83"/>
      <c r="L222" s="83"/>
      <c r="M222" s="6"/>
      <c r="N222" s="83"/>
      <c r="O222" s="83"/>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7"/>
    </row>
    <row r="223" ht="15.75" customHeight="1">
      <c r="A223" s="6"/>
      <c r="B223" s="6"/>
      <c r="C223" s="6"/>
      <c r="D223" s="6"/>
      <c r="E223" s="6"/>
      <c r="F223" s="6"/>
      <c r="G223" s="83"/>
      <c r="H223" s="83"/>
      <c r="I223" s="83"/>
      <c r="J223" s="83"/>
      <c r="K223" s="83"/>
      <c r="L223" s="83"/>
      <c r="M223" s="6"/>
      <c r="N223" s="83"/>
      <c r="O223" s="83"/>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7"/>
    </row>
    <row r="224" ht="15.75" customHeight="1">
      <c r="A224" s="6"/>
      <c r="B224" s="6"/>
      <c r="C224" s="6"/>
      <c r="D224" s="6"/>
      <c r="E224" s="6"/>
      <c r="F224" s="6"/>
      <c r="G224" s="83"/>
      <c r="H224" s="83"/>
      <c r="I224" s="83"/>
      <c r="J224" s="83"/>
      <c r="K224" s="83"/>
      <c r="L224" s="83"/>
      <c r="M224" s="6"/>
      <c r="N224" s="83"/>
      <c r="O224" s="83"/>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7"/>
    </row>
    <row r="225" ht="15.75" customHeight="1">
      <c r="A225" s="6"/>
      <c r="B225" s="6"/>
      <c r="C225" s="6"/>
      <c r="D225" s="6"/>
      <c r="E225" s="6"/>
      <c r="F225" s="6"/>
      <c r="G225" s="83"/>
      <c r="H225" s="83"/>
      <c r="I225" s="83"/>
      <c r="J225" s="83"/>
      <c r="K225" s="83"/>
      <c r="L225" s="83"/>
      <c r="M225" s="6"/>
      <c r="N225" s="83"/>
      <c r="O225" s="83"/>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7"/>
    </row>
    <row r="226" ht="15.75" customHeight="1">
      <c r="A226" s="6"/>
      <c r="B226" s="6"/>
      <c r="C226" s="6"/>
      <c r="D226" s="6"/>
      <c r="E226" s="6"/>
      <c r="F226" s="6"/>
      <c r="G226" s="83"/>
      <c r="H226" s="83"/>
      <c r="I226" s="83"/>
      <c r="J226" s="83"/>
      <c r="K226" s="83"/>
      <c r="L226" s="83"/>
      <c r="M226" s="6"/>
      <c r="N226" s="83"/>
      <c r="O226" s="83"/>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7"/>
    </row>
    <row r="227" ht="15.75" customHeight="1">
      <c r="A227" s="6"/>
      <c r="B227" s="6"/>
      <c r="C227" s="6"/>
      <c r="D227" s="6"/>
      <c r="E227" s="6"/>
      <c r="F227" s="6"/>
      <c r="G227" s="83"/>
      <c r="H227" s="83"/>
      <c r="I227" s="83"/>
      <c r="J227" s="83"/>
      <c r="K227" s="83"/>
      <c r="L227" s="83"/>
      <c r="M227" s="6"/>
      <c r="N227" s="83"/>
      <c r="O227" s="83"/>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7"/>
    </row>
    <row r="228" ht="15.75" customHeight="1">
      <c r="A228" s="6"/>
      <c r="B228" s="6"/>
      <c r="C228" s="6"/>
      <c r="D228" s="6"/>
      <c r="E228" s="6"/>
      <c r="F228" s="6"/>
      <c r="G228" s="83"/>
      <c r="H228" s="83"/>
      <c r="I228" s="83"/>
      <c r="J228" s="83"/>
      <c r="K228" s="83"/>
      <c r="L228" s="83"/>
      <c r="M228" s="6"/>
      <c r="N228" s="83"/>
      <c r="O228" s="83"/>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7"/>
    </row>
    <row r="229" ht="15.75" customHeight="1">
      <c r="A229" s="6"/>
      <c r="B229" s="6"/>
      <c r="C229" s="6"/>
      <c r="D229" s="6"/>
      <c r="E229" s="6"/>
      <c r="F229" s="6"/>
      <c r="G229" s="83"/>
      <c r="H229" s="83"/>
      <c r="I229" s="83"/>
      <c r="J229" s="83"/>
      <c r="K229" s="83"/>
      <c r="L229" s="83"/>
      <c r="M229" s="6"/>
      <c r="N229" s="83"/>
      <c r="O229" s="83"/>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7"/>
    </row>
    <row r="230" ht="15.75" customHeight="1">
      <c r="A230" s="6"/>
      <c r="B230" s="6"/>
      <c r="C230" s="6"/>
      <c r="D230" s="6"/>
      <c r="E230" s="6"/>
      <c r="F230" s="6"/>
      <c r="G230" s="83"/>
      <c r="H230" s="83"/>
      <c r="I230" s="83"/>
      <c r="J230" s="83"/>
      <c r="K230" s="83"/>
      <c r="L230" s="83"/>
      <c r="M230" s="6"/>
      <c r="N230" s="83"/>
      <c r="O230" s="83"/>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7"/>
    </row>
    <row r="231" ht="15.75" customHeight="1">
      <c r="A231" s="6"/>
      <c r="B231" s="6"/>
      <c r="C231" s="6"/>
      <c r="D231" s="6"/>
      <c r="E231" s="6"/>
      <c r="F231" s="6"/>
      <c r="G231" s="83"/>
      <c r="H231" s="83"/>
      <c r="I231" s="83"/>
      <c r="J231" s="83"/>
      <c r="K231" s="83"/>
      <c r="L231" s="83"/>
      <c r="M231" s="6"/>
      <c r="N231" s="83"/>
      <c r="O231" s="83"/>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7"/>
    </row>
    <row r="232" ht="15.75" customHeight="1">
      <c r="A232" s="6"/>
      <c r="B232" s="6"/>
      <c r="C232" s="6"/>
      <c r="D232" s="6"/>
      <c r="E232" s="6"/>
      <c r="F232" s="6"/>
      <c r="G232" s="83"/>
      <c r="H232" s="83"/>
      <c r="I232" s="83"/>
      <c r="J232" s="83"/>
      <c r="K232" s="83"/>
      <c r="L232" s="83"/>
      <c r="M232" s="6"/>
      <c r="N232" s="83"/>
      <c r="O232" s="83"/>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7"/>
    </row>
    <row r="233" ht="15.75" customHeight="1">
      <c r="A233" s="6"/>
      <c r="B233" s="6"/>
      <c r="C233" s="6"/>
      <c r="D233" s="6"/>
      <c r="E233" s="6"/>
      <c r="F233" s="6"/>
      <c r="G233" s="83"/>
      <c r="H233" s="83"/>
      <c r="I233" s="83"/>
      <c r="J233" s="83"/>
      <c r="K233" s="83"/>
      <c r="L233" s="83"/>
      <c r="M233" s="6"/>
      <c r="N233" s="83"/>
      <c r="O233" s="83"/>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7"/>
    </row>
    <row r="234" ht="15.75" customHeight="1">
      <c r="A234" s="6"/>
      <c r="B234" s="6"/>
      <c r="C234" s="6"/>
      <c r="D234" s="6"/>
      <c r="E234" s="6"/>
      <c r="F234" s="6"/>
      <c r="G234" s="83"/>
      <c r="H234" s="83"/>
      <c r="I234" s="83"/>
      <c r="J234" s="83"/>
      <c r="K234" s="83"/>
      <c r="L234" s="83"/>
      <c r="M234" s="6"/>
      <c r="N234" s="83"/>
      <c r="O234" s="83"/>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7"/>
    </row>
    <row r="235" ht="15.75" customHeight="1">
      <c r="A235" s="6"/>
      <c r="B235" s="6"/>
      <c r="C235" s="6"/>
      <c r="D235" s="6"/>
      <c r="E235" s="6"/>
      <c r="F235" s="6"/>
      <c r="G235" s="83"/>
      <c r="H235" s="83"/>
      <c r="I235" s="83"/>
      <c r="J235" s="83"/>
      <c r="K235" s="83"/>
      <c r="L235" s="83"/>
      <c r="M235" s="6"/>
      <c r="N235" s="83"/>
      <c r="O235" s="83"/>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7"/>
    </row>
    <row r="236" ht="15.75" customHeight="1">
      <c r="A236" s="6"/>
      <c r="B236" s="6"/>
      <c r="C236" s="6"/>
      <c r="D236" s="6"/>
      <c r="E236" s="6"/>
      <c r="F236" s="6"/>
      <c r="G236" s="83"/>
      <c r="H236" s="83"/>
      <c r="I236" s="83"/>
      <c r="J236" s="83"/>
      <c r="K236" s="83"/>
      <c r="L236" s="83"/>
      <c r="M236" s="6"/>
      <c r="N236" s="83"/>
      <c r="O236" s="83"/>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7"/>
    </row>
    <row r="237" ht="15.75" customHeight="1">
      <c r="A237" s="6"/>
      <c r="B237" s="6"/>
      <c r="C237" s="6"/>
      <c r="D237" s="6"/>
      <c r="E237" s="6"/>
      <c r="F237" s="6"/>
      <c r="G237" s="83"/>
      <c r="H237" s="83"/>
      <c r="I237" s="83"/>
      <c r="J237" s="83"/>
      <c r="K237" s="83"/>
      <c r="L237" s="83"/>
      <c r="M237" s="6"/>
      <c r="N237" s="83"/>
      <c r="O237" s="83"/>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7"/>
    </row>
    <row r="238" ht="15.75" customHeight="1">
      <c r="A238" s="6"/>
      <c r="B238" s="6"/>
      <c r="C238" s="6"/>
      <c r="D238" s="6"/>
      <c r="E238" s="6"/>
      <c r="F238" s="6"/>
      <c r="G238" s="83"/>
      <c r="H238" s="83"/>
      <c r="I238" s="83"/>
      <c r="J238" s="83"/>
      <c r="K238" s="83"/>
      <c r="L238" s="83"/>
      <c r="M238" s="6"/>
      <c r="N238" s="83"/>
      <c r="O238" s="83"/>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7"/>
    </row>
    <row r="239" ht="15.75" customHeight="1">
      <c r="A239" s="6"/>
      <c r="B239" s="6"/>
      <c r="C239" s="6"/>
      <c r="D239" s="6"/>
      <c r="E239" s="6"/>
      <c r="F239" s="6"/>
      <c r="G239" s="83"/>
      <c r="H239" s="83"/>
      <c r="I239" s="83"/>
      <c r="J239" s="83"/>
      <c r="K239" s="83"/>
      <c r="L239" s="83"/>
      <c r="M239" s="6"/>
      <c r="N239" s="83"/>
      <c r="O239" s="83"/>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7"/>
    </row>
    <row r="240" ht="15.75" customHeight="1">
      <c r="A240" s="6"/>
      <c r="B240" s="6"/>
      <c r="C240" s="6"/>
      <c r="D240" s="6"/>
      <c r="E240" s="6"/>
      <c r="F240" s="6"/>
      <c r="G240" s="83"/>
      <c r="H240" s="83"/>
      <c r="I240" s="83"/>
      <c r="J240" s="83"/>
      <c r="K240" s="83"/>
      <c r="L240" s="83"/>
      <c r="M240" s="6"/>
      <c r="N240" s="83"/>
      <c r="O240" s="83"/>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7"/>
    </row>
    <row r="241" ht="15.75" customHeight="1">
      <c r="A241" s="6"/>
      <c r="B241" s="6"/>
      <c r="C241" s="6"/>
      <c r="D241" s="6"/>
      <c r="E241" s="6"/>
      <c r="F241" s="6"/>
      <c r="G241" s="83"/>
      <c r="H241" s="83"/>
      <c r="I241" s="83"/>
      <c r="J241" s="83"/>
      <c r="K241" s="83"/>
      <c r="L241" s="83"/>
      <c r="M241" s="6"/>
      <c r="N241" s="83"/>
      <c r="O241" s="83"/>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7"/>
    </row>
    <row r="242" ht="15.75" customHeight="1">
      <c r="A242" s="6"/>
      <c r="B242" s="6"/>
      <c r="C242" s="6"/>
      <c r="D242" s="6"/>
      <c r="E242" s="6"/>
      <c r="F242" s="6"/>
      <c r="G242" s="83"/>
      <c r="H242" s="83"/>
      <c r="I242" s="83"/>
      <c r="J242" s="83"/>
      <c r="K242" s="83"/>
      <c r="L242" s="83"/>
      <c r="M242" s="6"/>
      <c r="N242" s="83"/>
      <c r="O242" s="83"/>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7"/>
    </row>
    <row r="243" ht="15.75" customHeight="1">
      <c r="A243" s="6"/>
      <c r="B243" s="6"/>
      <c r="C243" s="6"/>
      <c r="D243" s="6"/>
      <c r="E243" s="6"/>
      <c r="F243" s="6"/>
      <c r="G243" s="83"/>
      <c r="H243" s="83"/>
      <c r="I243" s="83"/>
      <c r="J243" s="83"/>
      <c r="K243" s="83"/>
      <c r="L243" s="83"/>
      <c r="M243" s="6"/>
      <c r="N243" s="83"/>
      <c r="O243" s="83"/>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7"/>
    </row>
    <row r="244" ht="15.75" customHeight="1">
      <c r="A244" s="6"/>
      <c r="B244" s="6"/>
      <c r="C244" s="6"/>
      <c r="D244" s="6"/>
      <c r="E244" s="6"/>
      <c r="F244" s="6"/>
      <c r="G244" s="83"/>
      <c r="H244" s="83"/>
      <c r="I244" s="83"/>
      <c r="J244" s="83"/>
      <c r="K244" s="83"/>
      <c r="L244" s="83"/>
      <c r="M244" s="6"/>
      <c r="N244" s="83"/>
      <c r="O244" s="83"/>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7"/>
    </row>
    <row r="245" ht="15.75" customHeight="1">
      <c r="A245" s="6"/>
      <c r="B245" s="6"/>
      <c r="C245" s="6"/>
      <c r="D245" s="6"/>
      <c r="E245" s="6"/>
      <c r="F245" s="6"/>
      <c r="G245" s="83"/>
      <c r="H245" s="83"/>
      <c r="I245" s="83"/>
      <c r="J245" s="83"/>
      <c r="K245" s="83"/>
      <c r="L245" s="83"/>
      <c r="M245" s="6"/>
      <c r="N245" s="83"/>
      <c r="O245" s="83"/>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7"/>
    </row>
    <row r="246" ht="15.75" customHeight="1">
      <c r="A246" s="6"/>
      <c r="B246" s="6"/>
      <c r="C246" s="6"/>
      <c r="D246" s="6"/>
      <c r="E246" s="6"/>
      <c r="F246" s="6"/>
      <c r="G246" s="83"/>
      <c r="H246" s="83"/>
      <c r="I246" s="83"/>
      <c r="J246" s="83"/>
      <c r="K246" s="83"/>
      <c r="L246" s="83"/>
      <c r="M246" s="6"/>
      <c r="N246" s="83"/>
      <c r="O246" s="83"/>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7"/>
    </row>
    <row r="247" ht="15.75" customHeight="1">
      <c r="A247" s="6"/>
      <c r="B247" s="6"/>
      <c r="C247" s="6"/>
      <c r="D247" s="6"/>
      <c r="E247" s="6"/>
      <c r="F247" s="6"/>
      <c r="G247" s="83"/>
      <c r="H247" s="83"/>
      <c r="I247" s="83"/>
      <c r="J247" s="83"/>
      <c r="K247" s="83"/>
      <c r="L247" s="83"/>
      <c r="M247" s="6"/>
      <c r="N247" s="83"/>
      <c r="O247" s="83"/>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7"/>
    </row>
    <row r="248" ht="15.75" customHeight="1">
      <c r="A248" s="6"/>
      <c r="B248" s="6"/>
      <c r="C248" s="6"/>
      <c r="D248" s="6"/>
      <c r="E248" s="6"/>
      <c r="F248" s="6"/>
      <c r="G248" s="83"/>
      <c r="H248" s="83"/>
      <c r="I248" s="83"/>
      <c r="J248" s="83"/>
      <c r="K248" s="83"/>
      <c r="L248" s="83"/>
      <c r="M248" s="6"/>
      <c r="N248" s="83"/>
      <c r="O248" s="83"/>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7"/>
    </row>
    <row r="249" ht="15.75" customHeight="1">
      <c r="A249" s="6"/>
      <c r="B249" s="6"/>
      <c r="C249" s="6"/>
      <c r="D249" s="6"/>
      <c r="E249" s="6"/>
      <c r="F249" s="6"/>
      <c r="G249" s="83"/>
      <c r="H249" s="83"/>
      <c r="I249" s="83"/>
      <c r="J249" s="83"/>
      <c r="K249" s="83"/>
      <c r="L249" s="83"/>
      <c r="M249" s="6"/>
      <c r="N249" s="83"/>
      <c r="O249" s="83"/>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7"/>
    </row>
    <row r="250" ht="15.75" customHeight="1">
      <c r="A250" s="6"/>
      <c r="B250" s="6"/>
      <c r="C250" s="6"/>
      <c r="D250" s="6"/>
      <c r="E250" s="6"/>
      <c r="F250" s="6"/>
      <c r="G250" s="83"/>
      <c r="H250" s="83"/>
      <c r="I250" s="83"/>
      <c r="J250" s="83"/>
      <c r="K250" s="83"/>
      <c r="L250" s="83"/>
      <c r="M250" s="6"/>
      <c r="N250" s="83"/>
      <c r="O250" s="83"/>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7"/>
    </row>
    <row r="251" ht="15.75" customHeight="1">
      <c r="A251" s="6"/>
      <c r="B251" s="6"/>
      <c r="C251" s="6"/>
      <c r="D251" s="6"/>
      <c r="E251" s="6"/>
      <c r="F251" s="6"/>
      <c r="G251" s="83"/>
      <c r="H251" s="83"/>
      <c r="I251" s="83"/>
      <c r="J251" s="83"/>
      <c r="K251" s="83"/>
      <c r="L251" s="83"/>
      <c r="M251" s="6"/>
      <c r="N251" s="83"/>
      <c r="O251" s="83"/>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7"/>
    </row>
    <row r="252" ht="15.75" customHeight="1">
      <c r="A252" s="6"/>
      <c r="B252" s="6"/>
      <c r="C252" s="6"/>
      <c r="D252" s="6"/>
      <c r="E252" s="6"/>
      <c r="F252" s="6"/>
      <c r="G252" s="83"/>
      <c r="H252" s="83"/>
      <c r="I252" s="83"/>
      <c r="J252" s="83"/>
      <c r="K252" s="83"/>
      <c r="L252" s="83"/>
      <c r="M252" s="6"/>
      <c r="N252" s="83"/>
      <c r="O252" s="83"/>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7"/>
    </row>
    <row r="253" ht="15.75" customHeight="1">
      <c r="A253" s="6"/>
      <c r="B253" s="6"/>
      <c r="C253" s="6"/>
      <c r="D253" s="6"/>
      <c r="E253" s="6"/>
      <c r="F253" s="6"/>
      <c r="G253" s="83"/>
      <c r="H253" s="83"/>
      <c r="I253" s="83"/>
      <c r="J253" s="83"/>
      <c r="K253" s="83"/>
      <c r="L253" s="83"/>
      <c r="M253" s="6"/>
      <c r="N253" s="83"/>
      <c r="O253" s="83"/>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7"/>
    </row>
    <row r="254" ht="15.75" customHeight="1">
      <c r="A254" s="6"/>
      <c r="B254" s="6"/>
      <c r="C254" s="6"/>
      <c r="D254" s="6"/>
      <c r="E254" s="6"/>
      <c r="F254" s="6"/>
      <c r="G254" s="83"/>
      <c r="H254" s="83"/>
      <c r="I254" s="83"/>
      <c r="J254" s="83"/>
      <c r="K254" s="83"/>
      <c r="L254" s="83"/>
      <c r="M254" s="6"/>
      <c r="N254" s="83"/>
      <c r="O254" s="83"/>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7"/>
    </row>
    <row r="255" ht="15.75" customHeight="1">
      <c r="A255" s="6"/>
      <c r="B255" s="6"/>
      <c r="C255" s="6"/>
      <c r="D255" s="6"/>
      <c r="E255" s="6"/>
      <c r="F255" s="6"/>
      <c r="G255" s="83"/>
      <c r="H255" s="83"/>
      <c r="I255" s="83"/>
      <c r="J255" s="83"/>
      <c r="K255" s="83"/>
      <c r="L255" s="83"/>
      <c r="M255" s="6"/>
      <c r="N255" s="83"/>
      <c r="O255" s="83"/>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7"/>
    </row>
    <row r="256" ht="15.75" customHeight="1">
      <c r="A256" s="6"/>
      <c r="B256" s="6"/>
      <c r="C256" s="6"/>
      <c r="D256" s="6"/>
      <c r="E256" s="6"/>
      <c r="F256" s="6"/>
      <c r="G256" s="83"/>
      <c r="H256" s="83"/>
      <c r="I256" s="83"/>
      <c r="J256" s="83"/>
      <c r="K256" s="83"/>
      <c r="L256" s="83"/>
      <c r="M256" s="6"/>
      <c r="N256" s="83"/>
      <c r="O256" s="83"/>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7"/>
    </row>
    <row r="257" ht="15.75" customHeight="1">
      <c r="A257" s="6"/>
      <c r="B257" s="6"/>
      <c r="C257" s="6"/>
      <c r="D257" s="6"/>
      <c r="E257" s="6"/>
      <c r="F257" s="6"/>
      <c r="G257" s="83"/>
      <c r="H257" s="83"/>
      <c r="I257" s="83"/>
      <c r="J257" s="83"/>
      <c r="K257" s="83"/>
      <c r="L257" s="83"/>
      <c r="M257" s="6"/>
      <c r="N257" s="83"/>
      <c r="O257" s="83"/>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7"/>
    </row>
    <row r="258" ht="15.75" customHeight="1">
      <c r="A258" s="6"/>
      <c r="B258" s="6"/>
      <c r="C258" s="6"/>
      <c r="D258" s="6"/>
      <c r="E258" s="6"/>
      <c r="F258" s="6"/>
      <c r="G258" s="83"/>
      <c r="H258" s="83"/>
      <c r="I258" s="83"/>
      <c r="J258" s="83"/>
      <c r="K258" s="83"/>
      <c r="L258" s="83"/>
      <c r="M258" s="6"/>
      <c r="N258" s="83"/>
      <c r="O258" s="83"/>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7"/>
    </row>
    <row r="259" ht="15.75" customHeight="1">
      <c r="A259" s="6"/>
      <c r="B259" s="6"/>
      <c r="C259" s="6"/>
      <c r="D259" s="6"/>
      <c r="E259" s="6"/>
      <c r="F259" s="6"/>
      <c r="G259" s="83"/>
      <c r="H259" s="83"/>
      <c r="I259" s="83"/>
      <c r="J259" s="83"/>
      <c r="K259" s="83"/>
      <c r="L259" s="83"/>
      <c r="M259" s="6"/>
      <c r="N259" s="83"/>
      <c r="O259" s="83"/>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7"/>
    </row>
    <row r="260" ht="15.75" customHeight="1">
      <c r="A260" s="6"/>
      <c r="B260" s="6"/>
      <c r="C260" s="6"/>
      <c r="D260" s="6"/>
      <c r="E260" s="6"/>
      <c r="F260" s="6"/>
      <c r="G260" s="83"/>
      <c r="H260" s="83"/>
      <c r="I260" s="83"/>
      <c r="J260" s="83"/>
      <c r="K260" s="83"/>
      <c r="L260" s="83"/>
      <c r="M260" s="6"/>
      <c r="N260" s="83"/>
      <c r="O260" s="83"/>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7"/>
    </row>
    <row r="261" ht="15.75" customHeight="1">
      <c r="A261" s="6"/>
      <c r="B261" s="6"/>
      <c r="C261" s="6"/>
      <c r="D261" s="6"/>
      <c r="E261" s="6"/>
      <c r="F261" s="6"/>
      <c r="G261" s="83"/>
      <c r="H261" s="83"/>
      <c r="I261" s="83"/>
      <c r="J261" s="83"/>
      <c r="K261" s="83"/>
      <c r="L261" s="83"/>
      <c r="M261" s="6"/>
      <c r="N261" s="83"/>
      <c r="O261" s="83"/>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7"/>
    </row>
    <row r="262" ht="15.75" customHeight="1">
      <c r="A262" s="6"/>
      <c r="B262" s="6"/>
      <c r="C262" s="6"/>
      <c r="D262" s="6"/>
      <c r="E262" s="6"/>
      <c r="F262" s="6"/>
      <c r="G262" s="83"/>
      <c r="H262" s="83"/>
      <c r="I262" s="83"/>
      <c r="J262" s="83"/>
      <c r="K262" s="83"/>
      <c r="L262" s="83"/>
      <c r="M262" s="6"/>
      <c r="N262" s="83"/>
      <c r="O262" s="83"/>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7"/>
    </row>
    <row r="263" ht="15.75" customHeight="1">
      <c r="A263" s="6"/>
      <c r="B263" s="6"/>
      <c r="C263" s="6"/>
      <c r="D263" s="6"/>
      <c r="E263" s="6"/>
      <c r="F263" s="6"/>
      <c r="G263" s="83"/>
      <c r="H263" s="83"/>
      <c r="I263" s="83"/>
      <c r="J263" s="83"/>
      <c r="K263" s="83"/>
      <c r="L263" s="83"/>
      <c r="M263" s="6"/>
      <c r="N263" s="83"/>
      <c r="O263" s="83"/>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7"/>
    </row>
    <row r="264" ht="15.75" customHeight="1">
      <c r="A264" s="6"/>
      <c r="B264" s="6"/>
      <c r="C264" s="6"/>
      <c r="D264" s="6"/>
      <c r="E264" s="6"/>
      <c r="F264" s="6"/>
      <c r="G264" s="83"/>
      <c r="H264" s="83"/>
      <c r="I264" s="83"/>
      <c r="J264" s="83"/>
      <c r="K264" s="83"/>
      <c r="L264" s="83"/>
      <c r="M264" s="6"/>
      <c r="N264" s="83"/>
      <c r="O264" s="83"/>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7"/>
    </row>
    <row r="265" ht="15.75" customHeight="1">
      <c r="A265" s="6"/>
      <c r="B265" s="6"/>
      <c r="C265" s="6"/>
      <c r="D265" s="6"/>
      <c r="E265" s="6"/>
      <c r="F265" s="6"/>
      <c r="G265" s="83"/>
      <c r="H265" s="83"/>
      <c r="I265" s="83"/>
      <c r="J265" s="83"/>
      <c r="K265" s="83"/>
      <c r="L265" s="83"/>
      <c r="M265" s="6"/>
      <c r="N265" s="83"/>
      <c r="O265" s="83"/>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7"/>
    </row>
    <row r="266" ht="15.75" customHeight="1">
      <c r="A266" s="6"/>
      <c r="B266" s="6"/>
      <c r="C266" s="6"/>
      <c r="D266" s="6"/>
      <c r="E266" s="6"/>
      <c r="F266" s="6"/>
      <c r="G266" s="83"/>
      <c r="H266" s="83"/>
      <c r="I266" s="83"/>
      <c r="J266" s="83"/>
      <c r="K266" s="83"/>
      <c r="L266" s="83"/>
      <c r="M266" s="6"/>
      <c r="N266" s="83"/>
      <c r="O266" s="83"/>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7"/>
    </row>
    <row r="267" ht="15.75" customHeight="1">
      <c r="A267" s="6"/>
      <c r="B267" s="6"/>
      <c r="C267" s="6"/>
      <c r="D267" s="6"/>
      <c r="E267" s="6"/>
      <c r="F267" s="6"/>
      <c r="G267" s="83"/>
      <c r="H267" s="83"/>
      <c r="I267" s="83"/>
      <c r="J267" s="83"/>
      <c r="K267" s="83"/>
      <c r="L267" s="83"/>
      <c r="M267" s="6"/>
      <c r="N267" s="83"/>
      <c r="O267" s="83"/>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7"/>
    </row>
    <row r="268" ht="15.75" customHeight="1">
      <c r="A268" s="6"/>
      <c r="B268" s="6"/>
      <c r="C268" s="6"/>
      <c r="D268" s="6"/>
      <c r="E268" s="6"/>
      <c r="F268" s="6"/>
      <c r="G268" s="83"/>
      <c r="H268" s="83"/>
      <c r="I268" s="83"/>
      <c r="J268" s="83"/>
      <c r="K268" s="83"/>
      <c r="L268" s="83"/>
      <c r="M268" s="6"/>
      <c r="N268" s="83"/>
      <c r="O268" s="83"/>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7"/>
    </row>
    <row r="269" ht="15.75" customHeight="1">
      <c r="A269" s="6"/>
      <c r="B269" s="6"/>
      <c r="C269" s="6"/>
      <c r="D269" s="6"/>
      <c r="E269" s="6"/>
      <c r="F269" s="6"/>
      <c r="G269" s="83"/>
      <c r="H269" s="83"/>
      <c r="I269" s="83"/>
      <c r="J269" s="83"/>
      <c r="K269" s="83"/>
      <c r="L269" s="83"/>
      <c r="M269" s="6"/>
      <c r="N269" s="83"/>
      <c r="O269" s="83"/>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7"/>
    </row>
    <row r="270" ht="15.75" customHeight="1">
      <c r="A270" s="6"/>
      <c r="B270" s="6"/>
      <c r="C270" s="6"/>
      <c r="D270" s="6"/>
      <c r="E270" s="6"/>
      <c r="F270" s="6"/>
      <c r="G270" s="83"/>
      <c r="H270" s="83"/>
      <c r="I270" s="83"/>
      <c r="J270" s="83"/>
      <c r="K270" s="83"/>
      <c r="L270" s="83"/>
      <c r="M270" s="6"/>
      <c r="N270" s="83"/>
      <c r="O270" s="83"/>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7"/>
    </row>
    <row r="271" ht="15.75" customHeight="1">
      <c r="A271" s="6"/>
      <c r="B271" s="6"/>
      <c r="C271" s="6"/>
      <c r="D271" s="6"/>
      <c r="E271" s="6"/>
      <c r="F271" s="6"/>
      <c r="G271" s="83"/>
      <c r="H271" s="83"/>
      <c r="I271" s="83"/>
      <c r="J271" s="83"/>
      <c r="K271" s="83"/>
      <c r="L271" s="83"/>
      <c r="M271" s="6"/>
      <c r="N271" s="83"/>
      <c r="O271" s="83"/>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7"/>
    </row>
    <row r="272" ht="15.75" customHeight="1">
      <c r="A272" s="6"/>
      <c r="B272" s="6"/>
      <c r="C272" s="6"/>
      <c r="D272" s="6"/>
      <c r="E272" s="6"/>
      <c r="F272" s="6"/>
      <c r="G272" s="83"/>
      <c r="H272" s="83"/>
      <c r="I272" s="83"/>
      <c r="J272" s="83"/>
      <c r="K272" s="83"/>
      <c r="L272" s="83"/>
      <c r="M272" s="6"/>
      <c r="N272" s="83"/>
      <c r="O272" s="83"/>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7"/>
    </row>
    <row r="273" ht="15.75" customHeight="1">
      <c r="A273" s="6"/>
      <c r="B273" s="6"/>
      <c r="C273" s="6"/>
      <c r="D273" s="6"/>
      <c r="E273" s="6"/>
      <c r="F273" s="6"/>
      <c r="G273" s="83"/>
      <c r="H273" s="83"/>
      <c r="I273" s="83"/>
      <c r="J273" s="83"/>
      <c r="K273" s="83"/>
      <c r="L273" s="83"/>
      <c r="M273" s="6"/>
      <c r="N273" s="83"/>
      <c r="O273" s="83"/>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7"/>
    </row>
    <row r="274" ht="15.75" customHeight="1">
      <c r="A274" s="6"/>
      <c r="B274" s="6"/>
      <c r="C274" s="6"/>
      <c r="D274" s="6"/>
      <c r="E274" s="6"/>
      <c r="F274" s="6"/>
      <c r="G274" s="83"/>
      <c r="H274" s="83"/>
      <c r="I274" s="83"/>
      <c r="J274" s="83"/>
      <c r="K274" s="83"/>
      <c r="L274" s="83"/>
      <c r="M274" s="6"/>
      <c r="N274" s="83"/>
      <c r="O274" s="83"/>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7"/>
    </row>
    <row r="275" ht="15.75" customHeight="1">
      <c r="A275" s="6"/>
      <c r="B275" s="6"/>
      <c r="C275" s="6"/>
      <c r="D275" s="6"/>
      <c r="E275" s="6"/>
      <c r="F275" s="6"/>
      <c r="G275" s="83"/>
      <c r="H275" s="83"/>
      <c r="I275" s="83"/>
      <c r="J275" s="83"/>
      <c r="K275" s="83"/>
      <c r="L275" s="83"/>
      <c r="M275" s="6"/>
      <c r="N275" s="83"/>
      <c r="O275" s="83"/>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7"/>
    </row>
    <row r="276" ht="15.75" customHeight="1">
      <c r="A276" s="6"/>
      <c r="B276" s="6"/>
      <c r="C276" s="6"/>
      <c r="D276" s="6"/>
      <c r="E276" s="6"/>
      <c r="F276" s="6"/>
      <c r="G276" s="83"/>
      <c r="H276" s="83"/>
      <c r="I276" s="83"/>
      <c r="J276" s="83"/>
      <c r="K276" s="83"/>
      <c r="L276" s="83"/>
      <c r="M276" s="6"/>
      <c r="N276" s="83"/>
      <c r="O276" s="83"/>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7"/>
    </row>
    <row r="277" ht="15.75" customHeight="1">
      <c r="A277" s="6"/>
      <c r="B277" s="6"/>
      <c r="C277" s="6"/>
      <c r="D277" s="6"/>
      <c r="E277" s="6"/>
      <c r="F277" s="6"/>
      <c r="G277" s="83"/>
      <c r="H277" s="83"/>
      <c r="I277" s="83"/>
      <c r="J277" s="83"/>
      <c r="K277" s="83"/>
      <c r="L277" s="83"/>
      <c r="M277" s="6"/>
      <c r="N277" s="83"/>
      <c r="O277" s="83"/>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7"/>
    </row>
    <row r="278" ht="15.75" customHeight="1">
      <c r="A278" s="6"/>
      <c r="B278" s="6"/>
      <c r="C278" s="6"/>
      <c r="D278" s="6"/>
      <c r="E278" s="6"/>
      <c r="F278" s="6"/>
      <c r="G278" s="83"/>
      <c r="H278" s="83"/>
      <c r="I278" s="83"/>
      <c r="J278" s="83"/>
      <c r="K278" s="83"/>
      <c r="L278" s="83"/>
      <c r="M278" s="6"/>
      <c r="N278" s="83"/>
      <c r="O278" s="83"/>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7"/>
    </row>
    <row r="279" ht="15.75" customHeight="1">
      <c r="A279" s="6"/>
      <c r="B279" s="6"/>
      <c r="C279" s="6"/>
      <c r="D279" s="6"/>
      <c r="E279" s="6"/>
      <c r="F279" s="6"/>
      <c r="G279" s="83"/>
      <c r="H279" s="83"/>
      <c r="I279" s="83"/>
      <c r="J279" s="83"/>
      <c r="K279" s="83"/>
      <c r="L279" s="83"/>
      <c r="M279" s="6"/>
      <c r="N279" s="83"/>
      <c r="O279" s="83"/>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7"/>
    </row>
    <row r="280" ht="15.75" customHeight="1">
      <c r="A280" s="6"/>
      <c r="B280" s="6"/>
      <c r="C280" s="6"/>
      <c r="D280" s="6"/>
      <c r="E280" s="6"/>
      <c r="F280" s="6"/>
      <c r="G280" s="83"/>
      <c r="H280" s="83"/>
      <c r="I280" s="83"/>
      <c r="J280" s="83"/>
      <c r="K280" s="83"/>
      <c r="L280" s="83"/>
      <c r="M280" s="6"/>
      <c r="N280" s="83"/>
      <c r="O280" s="83"/>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7"/>
    </row>
    <row r="281" ht="15.75" customHeight="1">
      <c r="A281" s="6"/>
      <c r="B281" s="6"/>
      <c r="C281" s="6"/>
      <c r="D281" s="6"/>
      <c r="E281" s="6"/>
      <c r="F281" s="6"/>
      <c r="G281" s="83"/>
      <c r="H281" s="83"/>
      <c r="I281" s="83"/>
      <c r="J281" s="83"/>
      <c r="K281" s="83"/>
      <c r="L281" s="83"/>
      <c r="M281" s="6"/>
      <c r="N281" s="83"/>
      <c r="O281" s="83"/>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7"/>
    </row>
    <row r="282" ht="15.75" customHeight="1">
      <c r="A282" s="6"/>
      <c r="B282" s="6"/>
      <c r="C282" s="6"/>
      <c r="D282" s="6"/>
      <c r="E282" s="6"/>
      <c r="F282" s="6"/>
      <c r="G282" s="83"/>
      <c r="H282" s="83"/>
      <c r="I282" s="83"/>
      <c r="J282" s="83"/>
      <c r="K282" s="83"/>
      <c r="L282" s="83"/>
      <c r="M282" s="6"/>
      <c r="N282" s="83"/>
      <c r="O282" s="83"/>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7"/>
    </row>
    <row r="283" ht="15.75" customHeight="1">
      <c r="A283" s="6"/>
      <c r="B283" s="6"/>
      <c r="C283" s="6"/>
      <c r="D283" s="6"/>
      <c r="E283" s="6"/>
      <c r="F283" s="6"/>
      <c r="G283" s="83"/>
      <c r="H283" s="83"/>
      <c r="I283" s="83"/>
      <c r="J283" s="83"/>
      <c r="K283" s="83"/>
      <c r="L283" s="83"/>
      <c r="M283" s="6"/>
      <c r="N283" s="83"/>
      <c r="O283" s="83"/>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7"/>
    </row>
    <row r="284" ht="15.75" customHeight="1">
      <c r="A284" s="6"/>
      <c r="B284" s="6"/>
      <c r="C284" s="6"/>
      <c r="D284" s="6"/>
      <c r="E284" s="6"/>
      <c r="F284" s="6"/>
      <c r="G284" s="83"/>
      <c r="H284" s="83"/>
      <c r="I284" s="83"/>
      <c r="J284" s="83"/>
      <c r="K284" s="83"/>
      <c r="L284" s="83"/>
      <c r="M284" s="6"/>
      <c r="N284" s="83"/>
      <c r="O284" s="83"/>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7"/>
    </row>
    <row r="285" ht="15.75" customHeight="1">
      <c r="A285" s="6"/>
      <c r="B285" s="6"/>
      <c r="C285" s="6"/>
      <c r="D285" s="6"/>
      <c r="E285" s="6"/>
      <c r="F285" s="6"/>
      <c r="G285" s="83"/>
      <c r="H285" s="83"/>
      <c r="I285" s="83"/>
      <c r="J285" s="83"/>
      <c r="K285" s="83"/>
      <c r="L285" s="83"/>
      <c r="M285" s="6"/>
      <c r="N285" s="83"/>
      <c r="O285" s="83"/>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7"/>
    </row>
    <row r="286" ht="15.75" customHeight="1">
      <c r="A286" s="6"/>
      <c r="B286" s="6"/>
      <c r="C286" s="6"/>
      <c r="D286" s="6"/>
      <c r="E286" s="6"/>
      <c r="F286" s="6"/>
      <c r="G286" s="83"/>
      <c r="H286" s="83"/>
      <c r="I286" s="83"/>
      <c r="J286" s="83"/>
      <c r="K286" s="83"/>
      <c r="L286" s="83"/>
      <c r="M286" s="6"/>
      <c r="N286" s="83"/>
      <c r="O286" s="83"/>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7"/>
    </row>
    <row r="287" ht="15.75" customHeight="1">
      <c r="A287" s="6"/>
      <c r="B287" s="6"/>
      <c r="C287" s="6"/>
      <c r="D287" s="6"/>
      <c r="E287" s="6"/>
      <c r="F287" s="6"/>
      <c r="G287" s="83"/>
      <c r="H287" s="83"/>
      <c r="I287" s="83"/>
      <c r="J287" s="83"/>
      <c r="K287" s="83"/>
      <c r="L287" s="83"/>
      <c r="M287" s="6"/>
      <c r="N287" s="83"/>
      <c r="O287" s="83"/>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7"/>
    </row>
    <row r="288" ht="15.75" customHeight="1">
      <c r="A288" s="6"/>
      <c r="B288" s="6"/>
      <c r="C288" s="6"/>
      <c r="D288" s="6"/>
      <c r="E288" s="6"/>
      <c r="F288" s="6"/>
      <c r="G288" s="83"/>
      <c r="H288" s="83"/>
      <c r="I288" s="83"/>
      <c r="J288" s="83"/>
      <c r="K288" s="83"/>
      <c r="L288" s="83"/>
      <c r="M288" s="6"/>
      <c r="N288" s="83"/>
      <c r="O288" s="83"/>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7"/>
    </row>
    <row r="289" ht="15.75" customHeight="1">
      <c r="A289" s="6"/>
      <c r="B289" s="6"/>
      <c r="C289" s="6"/>
      <c r="D289" s="6"/>
      <c r="E289" s="6"/>
      <c r="F289" s="6"/>
      <c r="G289" s="83"/>
      <c r="H289" s="83"/>
      <c r="I289" s="83"/>
      <c r="J289" s="83"/>
      <c r="K289" s="83"/>
      <c r="L289" s="83"/>
      <c r="M289" s="6"/>
      <c r="N289" s="83"/>
      <c r="O289" s="83"/>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7"/>
    </row>
    <row r="290" ht="15.75" customHeight="1">
      <c r="A290" s="6"/>
      <c r="B290" s="6"/>
      <c r="C290" s="6"/>
      <c r="D290" s="6"/>
      <c r="E290" s="6"/>
      <c r="F290" s="6"/>
      <c r="G290" s="83"/>
      <c r="H290" s="83"/>
      <c r="I290" s="83"/>
      <c r="J290" s="83"/>
      <c r="K290" s="83"/>
      <c r="L290" s="83"/>
      <c r="M290" s="6"/>
      <c r="N290" s="83"/>
      <c r="O290" s="83"/>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7"/>
    </row>
    <row r="291" ht="15.75" customHeight="1">
      <c r="A291" s="6"/>
      <c r="B291" s="6"/>
      <c r="C291" s="6"/>
      <c r="D291" s="6"/>
      <c r="E291" s="6"/>
      <c r="F291" s="6"/>
      <c r="G291" s="83"/>
      <c r="H291" s="83"/>
      <c r="I291" s="83"/>
      <c r="J291" s="83"/>
      <c r="K291" s="83"/>
      <c r="L291" s="83"/>
      <c r="M291" s="6"/>
      <c r="N291" s="83"/>
      <c r="O291" s="83"/>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7"/>
    </row>
    <row r="292" ht="15.75" customHeight="1">
      <c r="A292" s="6"/>
      <c r="B292" s="6"/>
      <c r="C292" s="6"/>
      <c r="D292" s="6"/>
      <c r="E292" s="6"/>
      <c r="F292" s="6"/>
      <c r="G292" s="83"/>
      <c r="H292" s="83"/>
      <c r="I292" s="83"/>
      <c r="J292" s="83"/>
      <c r="K292" s="83"/>
      <c r="L292" s="83"/>
      <c r="M292" s="6"/>
      <c r="N292" s="83"/>
      <c r="O292" s="83"/>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7"/>
    </row>
    <row r="293" ht="15.75" customHeight="1">
      <c r="A293" s="6"/>
      <c r="B293" s="6"/>
      <c r="C293" s="6"/>
      <c r="D293" s="6"/>
      <c r="E293" s="6"/>
      <c r="F293" s="6"/>
      <c r="G293" s="83"/>
      <c r="H293" s="83"/>
      <c r="I293" s="83"/>
      <c r="J293" s="83"/>
      <c r="K293" s="83"/>
      <c r="L293" s="83"/>
      <c r="M293" s="6"/>
      <c r="N293" s="83"/>
      <c r="O293" s="83"/>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7"/>
    </row>
    <row r="294" ht="15.75" customHeight="1">
      <c r="A294" s="6"/>
      <c r="B294" s="6"/>
      <c r="C294" s="6"/>
      <c r="D294" s="6"/>
      <c r="E294" s="6"/>
      <c r="F294" s="6"/>
      <c r="G294" s="83"/>
      <c r="H294" s="83"/>
      <c r="I294" s="83"/>
      <c r="J294" s="83"/>
      <c r="K294" s="83"/>
      <c r="L294" s="83"/>
      <c r="M294" s="6"/>
      <c r="N294" s="83"/>
      <c r="O294" s="83"/>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7"/>
    </row>
    <row r="295" ht="15.75" customHeight="1">
      <c r="A295" s="6"/>
      <c r="B295" s="6"/>
      <c r="C295" s="6"/>
      <c r="D295" s="6"/>
      <c r="E295" s="6"/>
      <c r="F295" s="6"/>
      <c r="G295" s="83"/>
      <c r="H295" s="83"/>
      <c r="I295" s="83"/>
      <c r="J295" s="83"/>
      <c r="K295" s="83"/>
      <c r="L295" s="83"/>
      <c r="M295" s="6"/>
      <c r="N295" s="83"/>
      <c r="O295" s="83"/>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7"/>
    </row>
    <row r="296" ht="15.75" customHeight="1">
      <c r="A296" s="6"/>
      <c r="B296" s="6"/>
      <c r="C296" s="6"/>
      <c r="D296" s="6"/>
      <c r="E296" s="6"/>
      <c r="F296" s="6"/>
      <c r="G296" s="83"/>
      <c r="H296" s="83"/>
      <c r="I296" s="83"/>
      <c r="J296" s="83"/>
      <c r="K296" s="83"/>
      <c r="L296" s="83"/>
      <c r="M296" s="6"/>
      <c r="N296" s="83"/>
      <c r="O296" s="83"/>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7"/>
    </row>
    <row r="297" ht="15.75" customHeight="1">
      <c r="A297" s="6"/>
      <c r="B297" s="6"/>
      <c r="C297" s="6"/>
      <c r="D297" s="6"/>
      <c r="E297" s="6"/>
      <c r="F297" s="6"/>
      <c r="G297" s="83"/>
      <c r="H297" s="83"/>
      <c r="I297" s="83"/>
      <c r="J297" s="83"/>
      <c r="K297" s="83"/>
      <c r="L297" s="83"/>
      <c r="M297" s="6"/>
      <c r="N297" s="83"/>
      <c r="O297" s="83"/>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7"/>
    </row>
    <row r="298" ht="15.75" customHeight="1">
      <c r="A298" s="6"/>
      <c r="B298" s="6"/>
      <c r="C298" s="6"/>
      <c r="D298" s="6"/>
      <c r="E298" s="6"/>
      <c r="F298" s="6"/>
      <c r="G298" s="83"/>
      <c r="H298" s="83"/>
      <c r="I298" s="83"/>
      <c r="J298" s="83"/>
      <c r="K298" s="83"/>
      <c r="L298" s="83"/>
      <c r="M298" s="6"/>
      <c r="N298" s="83"/>
      <c r="O298" s="83"/>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7"/>
    </row>
    <row r="299" ht="15.75" customHeight="1">
      <c r="A299" s="6"/>
      <c r="B299" s="6"/>
      <c r="C299" s="6"/>
      <c r="D299" s="6"/>
      <c r="E299" s="6"/>
      <c r="F299" s="6"/>
      <c r="G299" s="83"/>
      <c r="H299" s="83"/>
      <c r="I299" s="83"/>
      <c r="J299" s="83"/>
      <c r="K299" s="83"/>
      <c r="L299" s="83"/>
      <c r="M299" s="6"/>
      <c r="N299" s="83"/>
      <c r="O299" s="83"/>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7"/>
    </row>
    <row r="300" ht="15.75" customHeight="1">
      <c r="A300" s="6"/>
      <c r="B300" s="6"/>
      <c r="C300" s="6"/>
      <c r="D300" s="6"/>
      <c r="E300" s="6"/>
      <c r="F300" s="6"/>
      <c r="G300" s="83"/>
      <c r="H300" s="83"/>
      <c r="I300" s="83"/>
      <c r="J300" s="83"/>
      <c r="K300" s="83"/>
      <c r="L300" s="83"/>
      <c r="M300" s="6"/>
      <c r="N300" s="83"/>
      <c r="O300" s="83"/>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7"/>
    </row>
    <row r="301" ht="15.75" customHeight="1">
      <c r="A301" s="6"/>
      <c r="B301" s="6"/>
      <c r="C301" s="6"/>
      <c r="D301" s="6"/>
      <c r="E301" s="6"/>
      <c r="F301" s="6"/>
      <c r="G301" s="83"/>
      <c r="H301" s="83"/>
      <c r="I301" s="83"/>
      <c r="J301" s="83"/>
      <c r="K301" s="83"/>
      <c r="L301" s="83"/>
      <c r="M301" s="6"/>
      <c r="N301" s="83"/>
      <c r="O301" s="83"/>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7"/>
    </row>
    <row r="302" ht="15.75" customHeight="1">
      <c r="A302" s="6"/>
      <c r="B302" s="6"/>
      <c r="C302" s="6"/>
      <c r="D302" s="6"/>
      <c r="E302" s="6"/>
      <c r="F302" s="6"/>
      <c r="G302" s="83"/>
      <c r="H302" s="83"/>
      <c r="I302" s="83"/>
      <c r="J302" s="83"/>
      <c r="K302" s="83"/>
      <c r="L302" s="83"/>
      <c r="M302" s="6"/>
      <c r="N302" s="83"/>
      <c r="O302" s="83"/>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7"/>
    </row>
    <row r="303" ht="15.75" customHeight="1">
      <c r="A303" s="6"/>
      <c r="B303" s="6"/>
      <c r="C303" s="6"/>
      <c r="D303" s="6"/>
      <c r="E303" s="6"/>
      <c r="F303" s="6"/>
      <c r="G303" s="83"/>
      <c r="H303" s="83"/>
      <c r="I303" s="83"/>
      <c r="J303" s="83"/>
      <c r="K303" s="83"/>
      <c r="L303" s="83"/>
      <c r="M303" s="6"/>
      <c r="N303" s="83"/>
      <c r="O303" s="83"/>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7"/>
    </row>
    <row r="304" ht="15.75" customHeight="1">
      <c r="A304" s="6"/>
      <c r="B304" s="6"/>
      <c r="C304" s="6"/>
      <c r="D304" s="6"/>
      <c r="E304" s="6"/>
      <c r="F304" s="6"/>
      <c r="G304" s="83"/>
      <c r="H304" s="83"/>
      <c r="I304" s="83"/>
      <c r="J304" s="83"/>
      <c r="K304" s="83"/>
      <c r="L304" s="83"/>
      <c r="M304" s="6"/>
      <c r="N304" s="83"/>
      <c r="O304" s="83"/>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7"/>
    </row>
    <row r="305" ht="15.75" customHeight="1">
      <c r="A305" s="6"/>
      <c r="B305" s="6"/>
      <c r="C305" s="6"/>
      <c r="D305" s="6"/>
      <c r="E305" s="6"/>
      <c r="F305" s="6"/>
      <c r="G305" s="83"/>
      <c r="H305" s="83"/>
      <c r="I305" s="83"/>
      <c r="J305" s="83"/>
      <c r="K305" s="83"/>
      <c r="L305" s="83"/>
      <c r="M305" s="6"/>
      <c r="N305" s="83"/>
      <c r="O305" s="83"/>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7"/>
    </row>
    <row r="306" ht="15.75" customHeight="1">
      <c r="A306" s="6"/>
      <c r="B306" s="6"/>
      <c r="C306" s="6"/>
      <c r="D306" s="6"/>
      <c r="E306" s="6"/>
      <c r="F306" s="6"/>
      <c r="G306" s="83"/>
      <c r="H306" s="83"/>
      <c r="I306" s="83"/>
      <c r="J306" s="83"/>
      <c r="K306" s="83"/>
      <c r="L306" s="83"/>
      <c r="M306" s="6"/>
      <c r="N306" s="83"/>
      <c r="O306" s="83"/>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7"/>
    </row>
    <row r="307" ht="15.75" customHeight="1">
      <c r="A307" s="6"/>
      <c r="B307" s="6"/>
      <c r="C307" s="6"/>
      <c r="D307" s="6"/>
      <c r="E307" s="6"/>
      <c r="F307" s="6"/>
      <c r="G307" s="83"/>
      <c r="H307" s="83"/>
      <c r="I307" s="83"/>
      <c r="J307" s="83"/>
      <c r="K307" s="83"/>
      <c r="L307" s="83"/>
      <c r="M307" s="6"/>
      <c r="N307" s="83"/>
      <c r="O307" s="83"/>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7"/>
    </row>
    <row r="308" ht="15.75" customHeight="1">
      <c r="A308" s="6"/>
      <c r="B308" s="6"/>
      <c r="C308" s="6"/>
      <c r="D308" s="6"/>
      <c r="E308" s="6"/>
      <c r="F308" s="6"/>
      <c r="G308" s="83"/>
      <c r="H308" s="83"/>
      <c r="I308" s="83"/>
      <c r="J308" s="83"/>
      <c r="K308" s="83"/>
      <c r="L308" s="83"/>
      <c r="M308" s="6"/>
      <c r="N308" s="83"/>
      <c r="O308" s="83"/>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7"/>
    </row>
    <row r="309" ht="15.75" customHeight="1">
      <c r="A309" s="6"/>
      <c r="B309" s="6"/>
      <c r="C309" s="6"/>
      <c r="D309" s="6"/>
      <c r="E309" s="6"/>
      <c r="F309" s="6"/>
      <c r="G309" s="83"/>
      <c r="H309" s="83"/>
      <c r="I309" s="83"/>
      <c r="J309" s="83"/>
      <c r="K309" s="83"/>
      <c r="L309" s="83"/>
      <c r="M309" s="6"/>
      <c r="N309" s="83"/>
      <c r="O309" s="83"/>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7"/>
    </row>
    <row r="310" ht="15.75" customHeight="1">
      <c r="A310" s="6"/>
      <c r="B310" s="6"/>
      <c r="C310" s="6"/>
      <c r="D310" s="6"/>
      <c r="E310" s="6"/>
      <c r="F310" s="6"/>
      <c r="G310" s="83"/>
      <c r="H310" s="83"/>
      <c r="I310" s="83"/>
      <c r="J310" s="83"/>
      <c r="K310" s="83"/>
      <c r="L310" s="83"/>
      <c r="M310" s="6"/>
      <c r="N310" s="83"/>
      <c r="O310" s="83"/>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7"/>
    </row>
    <row r="311" ht="15.75" customHeight="1">
      <c r="A311" s="6"/>
      <c r="B311" s="6"/>
      <c r="C311" s="6"/>
      <c r="D311" s="6"/>
      <c r="E311" s="6"/>
      <c r="F311" s="6"/>
      <c r="G311" s="83"/>
      <c r="H311" s="83"/>
      <c r="I311" s="83"/>
      <c r="J311" s="83"/>
      <c r="K311" s="83"/>
      <c r="L311" s="83"/>
      <c r="M311" s="6"/>
      <c r="N311" s="83"/>
      <c r="O311" s="83"/>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7"/>
    </row>
    <row r="312" ht="15.75" customHeight="1">
      <c r="A312" s="6"/>
      <c r="B312" s="6"/>
      <c r="C312" s="6"/>
      <c r="D312" s="6"/>
      <c r="E312" s="6"/>
      <c r="F312" s="6"/>
      <c r="G312" s="83"/>
      <c r="H312" s="83"/>
      <c r="I312" s="83"/>
      <c r="J312" s="83"/>
      <c r="K312" s="83"/>
      <c r="L312" s="83"/>
      <c r="M312" s="6"/>
      <c r="N312" s="83"/>
      <c r="O312" s="83"/>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7"/>
    </row>
    <row r="313" ht="15.75" customHeight="1">
      <c r="A313" s="6"/>
      <c r="B313" s="6"/>
      <c r="C313" s="6"/>
      <c r="D313" s="6"/>
      <c r="E313" s="6"/>
      <c r="F313" s="6"/>
      <c r="G313" s="83"/>
      <c r="H313" s="83"/>
      <c r="I313" s="83"/>
      <c r="J313" s="83"/>
      <c r="K313" s="83"/>
      <c r="L313" s="83"/>
      <c r="M313" s="6"/>
      <c r="N313" s="83"/>
      <c r="O313" s="83"/>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7"/>
    </row>
    <row r="314" ht="15.75" customHeight="1">
      <c r="A314" s="6"/>
      <c r="B314" s="6"/>
      <c r="C314" s="6"/>
      <c r="D314" s="6"/>
      <c r="E314" s="6"/>
      <c r="F314" s="6"/>
      <c r="G314" s="83"/>
      <c r="H314" s="83"/>
      <c r="I314" s="83"/>
      <c r="J314" s="83"/>
      <c r="K314" s="83"/>
      <c r="L314" s="83"/>
      <c r="M314" s="6"/>
      <c r="N314" s="83"/>
      <c r="O314" s="83"/>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7"/>
    </row>
    <row r="315" ht="15.75" customHeight="1">
      <c r="A315" s="6"/>
      <c r="B315" s="6"/>
      <c r="C315" s="6"/>
      <c r="D315" s="6"/>
      <c r="E315" s="6"/>
      <c r="F315" s="6"/>
      <c r="G315" s="83"/>
      <c r="H315" s="83"/>
      <c r="I315" s="83"/>
      <c r="J315" s="83"/>
      <c r="K315" s="83"/>
      <c r="L315" s="83"/>
      <c r="M315" s="6"/>
      <c r="N315" s="83"/>
      <c r="O315" s="83"/>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7"/>
    </row>
    <row r="316" ht="15.75" customHeight="1">
      <c r="A316" s="6"/>
      <c r="B316" s="6"/>
      <c r="C316" s="6"/>
      <c r="D316" s="6"/>
      <c r="E316" s="6"/>
      <c r="F316" s="6"/>
      <c r="G316" s="83"/>
      <c r="H316" s="83"/>
      <c r="I316" s="83"/>
      <c r="J316" s="83"/>
      <c r="K316" s="83"/>
      <c r="L316" s="83"/>
      <c r="M316" s="6"/>
      <c r="N316" s="83"/>
      <c r="O316" s="83"/>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7"/>
    </row>
    <row r="317" ht="15.75" customHeight="1">
      <c r="A317" s="6"/>
      <c r="B317" s="6"/>
      <c r="C317" s="6"/>
      <c r="D317" s="6"/>
      <c r="E317" s="6"/>
      <c r="F317" s="6"/>
      <c r="G317" s="83"/>
      <c r="H317" s="83"/>
      <c r="I317" s="83"/>
      <c r="J317" s="83"/>
      <c r="K317" s="83"/>
      <c r="L317" s="83"/>
      <c r="M317" s="6"/>
      <c r="N317" s="83"/>
      <c r="O317" s="83"/>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7"/>
    </row>
    <row r="318" ht="15.75" customHeight="1">
      <c r="A318" s="6"/>
      <c r="B318" s="6"/>
      <c r="C318" s="6"/>
      <c r="D318" s="6"/>
      <c r="E318" s="6"/>
      <c r="F318" s="6"/>
      <c r="G318" s="83"/>
      <c r="H318" s="83"/>
      <c r="I318" s="83"/>
      <c r="J318" s="83"/>
      <c r="K318" s="83"/>
      <c r="L318" s="83"/>
      <c r="M318" s="6"/>
      <c r="N318" s="83"/>
      <c r="O318" s="83"/>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7"/>
    </row>
    <row r="319" ht="15.75" customHeight="1">
      <c r="A319" s="6"/>
      <c r="B319" s="6"/>
      <c r="C319" s="6"/>
      <c r="D319" s="6"/>
      <c r="E319" s="6"/>
      <c r="F319" s="6"/>
      <c r="G319" s="83"/>
      <c r="H319" s="83"/>
      <c r="I319" s="83"/>
      <c r="J319" s="83"/>
      <c r="K319" s="83"/>
      <c r="L319" s="83"/>
      <c r="M319" s="6"/>
      <c r="N319" s="83"/>
      <c r="O319" s="83"/>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7"/>
    </row>
    <row r="320" ht="15.75" customHeight="1">
      <c r="A320" s="6"/>
      <c r="B320" s="6"/>
      <c r="C320" s="6"/>
      <c r="D320" s="6"/>
      <c r="E320" s="6"/>
      <c r="F320" s="6"/>
      <c r="G320" s="83"/>
      <c r="H320" s="83"/>
      <c r="I320" s="83"/>
      <c r="J320" s="83"/>
      <c r="K320" s="83"/>
      <c r="L320" s="83"/>
      <c r="M320" s="6"/>
      <c r="N320" s="83"/>
      <c r="O320" s="83"/>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7"/>
    </row>
    <row r="321" ht="15.75" customHeight="1">
      <c r="A321" s="6"/>
      <c r="B321" s="6"/>
      <c r="C321" s="6"/>
      <c r="D321" s="6"/>
      <c r="E321" s="6"/>
      <c r="F321" s="6"/>
      <c r="G321" s="83"/>
      <c r="H321" s="83"/>
      <c r="I321" s="83"/>
      <c r="J321" s="83"/>
      <c r="K321" s="83"/>
      <c r="L321" s="83"/>
      <c r="M321" s="6"/>
      <c r="N321" s="83"/>
      <c r="O321" s="83"/>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7"/>
    </row>
    <row r="322" ht="15.75" customHeight="1">
      <c r="A322" s="6"/>
      <c r="B322" s="6"/>
      <c r="C322" s="6"/>
      <c r="D322" s="6"/>
      <c r="E322" s="6"/>
      <c r="F322" s="6"/>
      <c r="G322" s="83"/>
      <c r="H322" s="83"/>
      <c r="I322" s="83"/>
      <c r="J322" s="83"/>
      <c r="K322" s="83"/>
      <c r="L322" s="83"/>
      <c r="M322" s="6"/>
      <c r="N322" s="83"/>
      <c r="O322" s="83"/>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7"/>
    </row>
    <row r="323" ht="15.75" customHeight="1">
      <c r="A323" s="6"/>
      <c r="B323" s="6"/>
      <c r="C323" s="6"/>
      <c r="D323" s="6"/>
      <c r="E323" s="6"/>
      <c r="F323" s="6"/>
      <c r="G323" s="83"/>
      <c r="H323" s="83"/>
      <c r="I323" s="83"/>
      <c r="J323" s="83"/>
      <c r="K323" s="83"/>
      <c r="L323" s="83"/>
      <c r="M323" s="6"/>
      <c r="N323" s="83"/>
      <c r="O323" s="83"/>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7"/>
    </row>
    <row r="324" ht="15.75" customHeight="1">
      <c r="A324" s="6"/>
      <c r="B324" s="6"/>
      <c r="C324" s="6"/>
      <c r="D324" s="6"/>
      <c r="E324" s="6"/>
      <c r="F324" s="6"/>
      <c r="G324" s="83"/>
      <c r="H324" s="83"/>
      <c r="I324" s="83"/>
      <c r="J324" s="83"/>
      <c r="K324" s="83"/>
      <c r="L324" s="83"/>
      <c r="M324" s="6"/>
      <c r="N324" s="83"/>
      <c r="O324" s="83"/>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7"/>
    </row>
    <row r="325" ht="15.75" customHeight="1">
      <c r="A325" s="6"/>
      <c r="B325" s="6"/>
      <c r="C325" s="6"/>
      <c r="D325" s="6"/>
      <c r="E325" s="6"/>
      <c r="F325" s="6"/>
      <c r="G325" s="83"/>
      <c r="H325" s="83"/>
      <c r="I325" s="83"/>
      <c r="J325" s="83"/>
      <c r="K325" s="83"/>
      <c r="L325" s="83"/>
      <c r="M325" s="6"/>
      <c r="N325" s="83"/>
      <c r="O325" s="83"/>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7"/>
    </row>
    <row r="326" ht="15.75" customHeight="1">
      <c r="A326" s="6"/>
      <c r="B326" s="6"/>
      <c r="C326" s="6"/>
      <c r="D326" s="6"/>
      <c r="E326" s="6"/>
      <c r="F326" s="6"/>
      <c r="G326" s="83"/>
      <c r="H326" s="83"/>
      <c r="I326" s="83"/>
      <c r="J326" s="83"/>
      <c r="K326" s="83"/>
      <c r="L326" s="83"/>
      <c r="M326" s="6"/>
      <c r="N326" s="83"/>
      <c r="O326" s="83"/>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7"/>
    </row>
    <row r="327" ht="15.75" customHeight="1">
      <c r="A327" s="6"/>
      <c r="B327" s="6"/>
      <c r="C327" s="6"/>
      <c r="D327" s="6"/>
      <c r="E327" s="6"/>
      <c r="F327" s="6"/>
      <c r="G327" s="83"/>
      <c r="H327" s="83"/>
      <c r="I327" s="83"/>
      <c r="J327" s="83"/>
      <c r="K327" s="83"/>
      <c r="L327" s="83"/>
      <c r="M327" s="6"/>
      <c r="N327" s="83"/>
      <c r="O327" s="83"/>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7"/>
    </row>
    <row r="328" ht="15.75" customHeight="1">
      <c r="A328" s="6"/>
      <c r="B328" s="6"/>
      <c r="C328" s="6"/>
      <c r="D328" s="6"/>
      <c r="E328" s="6"/>
      <c r="F328" s="6"/>
      <c r="G328" s="83"/>
      <c r="H328" s="83"/>
      <c r="I328" s="83"/>
      <c r="J328" s="83"/>
      <c r="K328" s="83"/>
      <c r="L328" s="83"/>
      <c r="M328" s="6"/>
      <c r="N328" s="83"/>
      <c r="O328" s="83"/>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7"/>
    </row>
    <row r="329" ht="15.75" customHeight="1">
      <c r="A329" s="6"/>
      <c r="B329" s="6"/>
      <c r="C329" s="6"/>
      <c r="D329" s="6"/>
      <c r="E329" s="6"/>
      <c r="F329" s="6"/>
      <c r="G329" s="83"/>
      <c r="H329" s="83"/>
      <c r="I329" s="83"/>
      <c r="J329" s="83"/>
      <c r="K329" s="83"/>
      <c r="L329" s="83"/>
      <c r="M329" s="6"/>
      <c r="N329" s="83"/>
      <c r="O329" s="83"/>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7"/>
    </row>
    <row r="330" ht="15.75" customHeight="1">
      <c r="A330" s="6"/>
      <c r="B330" s="6"/>
      <c r="C330" s="6"/>
      <c r="D330" s="6"/>
      <c r="E330" s="6"/>
      <c r="F330" s="6"/>
      <c r="G330" s="83"/>
      <c r="H330" s="83"/>
      <c r="I330" s="83"/>
      <c r="J330" s="83"/>
      <c r="K330" s="83"/>
      <c r="L330" s="83"/>
      <c r="M330" s="6"/>
      <c r="N330" s="83"/>
      <c r="O330" s="83"/>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7"/>
    </row>
    <row r="331" ht="15.75" customHeight="1">
      <c r="A331" s="6"/>
      <c r="B331" s="6"/>
      <c r="C331" s="6"/>
      <c r="D331" s="6"/>
      <c r="E331" s="6"/>
      <c r="F331" s="6"/>
      <c r="G331" s="83"/>
      <c r="H331" s="83"/>
      <c r="I331" s="83"/>
      <c r="J331" s="83"/>
      <c r="K331" s="83"/>
      <c r="L331" s="83"/>
      <c r="M331" s="6"/>
      <c r="N331" s="83"/>
      <c r="O331" s="83"/>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7"/>
    </row>
    <row r="332" ht="15.75" customHeight="1">
      <c r="A332" s="6"/>
      <c r="B332" s="6"/>
      <c r="C332" s="6"/>
      <c r="D332" s="6"/>
      <c r="E332" s="6"/>
      <c r="F332" s="6"/>
      <c r="G332" s="83"/>
      <c r="H332" s="83"/>
      <c r="I332" s="83"/>
      <c r="J332" s="83"/>
      <c r="K332" s="83"/>
      <c r="L332" s="83"/>
      <c r="M332" s="6"/>
      <c r="N332" s="83"/>
      <c r="O332" s="83"/>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7"/>
    </row>
    <row r="333" ht="15.75" customHeight="1">
      <c r="A333" s="6"/>
      <c r="B333" s="6"/>
      <c r="C333" s="6"/>
      <c r="D333" s="6"/>
      <c r="E333" s="6"/>
      <c r="F333" s="6"/>
      <c r="G333" s="83"/>
      <c r="H333" s="83"/>
      <c r="I333" s="83"/>
      <c r="J333" s="83"/>
      <c r="K333" s="83"/>
      <c r="L333" s="83"/>
      <c r="M333" s="6"/>
      <c r="N333" s="83"/>
      <c r="O333" s="83"/>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7"/>
    </row>
    <row r="334" ht="15.75" customHeight="1">
      <c r="A334" s="6"/>
      <c r="B334" s="6"/>
      <c r="C334" s="6"/>
      <c r="D334" s="6"/>
      <c r="E334" s="6"/>
      <c r="F334" s="6"/>
      <c r="G334" s="83"/>
      <c r="H334" s="83"/>
      <c r="I334" s="83"/>
      <c r="J334" s="83"/>
      <c r="K334" s="83"/>
      <c r="L334" s="83"/>
      <c r="M334" s="6"/>
      <c r="N334" s="83"/>
      <c r="O334" s="83"/>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7"/>
    </row>
    <row r="335" ht="15.75" customHeight="1">
      <c r="A335" s="6"/>
      <c r="B335" s="6"/>
      <c r="C335" s="6"/>
      <c r="D335" s="6"/>
      <c r="E335" s="6"/>
      <c r="F335" s="6"/>
      <c r="G335" s="83"/>
      <c r="H335" s="83"/>
      <c r="I335" s="83"/>
      <c r="J335" s="83"/>
      <c r="K335" s="83"/>
      <c r="L335" s="83"/>
      <c r="M335" s="6"/>
      <c r="N335" s="83"/>
      <c r="O335" s="83"/>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7"/>
    </row>
    <row r="336" ht="15.75" customHeight="1">
      <c r="A336" s="6"/>
      <c r="B336" s="6"/>
      <c r="C336" s="6"/>
      <c r="D336" s="6"/>
      <c r="E336" s="6"/>
      <c r="F336" s="6"/>
      <c r="G336" s="83"/>
      <c r="H336" s="83"/>
      <c r="I336" s="83"/>
      <c r="J336" s="83"/>
      <c r="K336" s="83"/>
      <c r="L336" s="83"/>
      <c r="M336" s="6"/>
      <c r="N336" s="83"/>
      <c r="O336" s="83"/>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7"/>
    </row>
    <row r="337" ht="15.75" customHeight="1">
      <c r="A337" s="6"/>
      <c r="B337" s="6"/>
      <c r="C337" s="6"/>
      <c r="D337" s="6"/>
      <c r="E337" s="6"/>
      <c r="F337" s="6"/>
      <c r="G337" s="83"/>
      <c r="H337" s="83"/>
      <c r="I337" s="83"/>
      <c r="J337" s="83"/>
      <c r="K337" s="83"/>
      <c r="L337" s="83"/>
      <c r="M337" s="6"/>
      <c r="N337" s="83"/>
      <c r="O337" s="83"/>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7"/>
    </row>
    <row r="338" ht="15.75" customHeight="1">
      <c r="A338" s="6"/>
      <c r="B338" s="6"/>
      <c r="C338" s="6"/>
      <c r="D338" s="6"/>
      <c r="E338" s="6"/>
      <c r="F338" s="6"/>
      <c r="G338" s="83"/>
      <c r="H338" s="83"/>
      <c r="I338" s="83"/>
      <c r="J338" s="83"/>
      <c r="K338" s="83"/>
      <c r="L338" s="83"/>
      <c r="M338" s="6"/>
      <c r="N338" s="83"/>
      <c r="O338" s="83"/>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7"/>
    </row>
    <row r="339" ht="15.75" customHeight="1">
      <c r="A339" s="6"/>
      <c r="B339" s="6"/>
      <c r="C339" s="6"/>
      <c r="D339" s="6"/>
      <c r="E339" s="6"/>
      <c r="F339" s="6"/>
      <c r="G339" s="83"/>
      <c r="H339" s="83"/>
      <c r="I339" s="83"/>
      <c r="J339" s="83"/>
      <c r="K339" s="83"/>
      <c r="L339" s="83"/>
      <c r="M339" s="6"/>
      <c r="N339" s="83"/>
      <c r="O339" s="83"/>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7"/>
    </row>
    <row r="340" ht="15.75" customHeight="1">
      <c r="A340" s="6"/>
      <c r="B340" s="6"/>
      <c r="C340" s="6"/>
      <c r="D340" s="6"/>
      <c r="E340" s="6"/>
      <c r="F340" s="6"/>
      <c r="G340" s="83"/>
      <c r="H340" s="83"/>
      <c r="I340" s="83"/>
      <c r="J340" s="83"/>
      <c r="K340" s="83"/>
      <c r="L340" s="83"/>
      <c r="M340" s="6"/>
      <c r="N340" s="83"/>
      <c r="O340" s="83"/>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7"/>
    </row>
    <row r="341" ht="15.75" customHeight="1">
      <c r="A341" s="6"/>
      <c r="B341" s="6"/>
      <c r="C341" s="6"/>
      <c r="D341" s="6"/>
      <c r="E341" s="6"/>
      <c r="F341" s="6"/>
      <c r="G341" s="83"/>
      <c r="H341" s="83"/>
      <c r="I341" s="83"/>
      <c r="J341" s="83"/>
      <c r="K341" s="83"/>
      <c r="L341" s="83"/>
      <c r="M341" s="6"/>
      <c r="N341" s="83"/>
      <c r="O341" s="83"/>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7"/>
    </row>
    <row r="342" ht="15.75" customHeight="1">
      <c r="A342" s="6"/>
      <c r="B342" s="6"/>
      <c r="C342" s="6"/>
      <c r="D342" s="6"/>
      <c r="E342" s="6"/>
      <c r="F342" s="6"/>
      <c r="G342" s="83"/>
      <c r="H342" s="83"/>
      <c r="I342" s="83"/>
      <c r="J342" s="83"/>
      <c r="K342" s="83"/>
      <c r="L342" s="83"/>
      <c r="M342" s="6"/>
      <c r="N342" s="83"/>
      <c r="O342" s="83"/>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7"/>
    </row>
    <row r="343" ht="15.75" customHeight="1">
      <c r="A343" s="6"/>
      <c r="B343" s="6"/>
      <c r="C343" s="6"/>
      <c r="D343" s="6"/>
      <c r="E343" s="6"/>
      <c r="F343" s="6"/>
      <c r="G343" s="83"/>
      <c r="H343" s="83"/>
      <c r="I343" s="83"/>
      <c r="J343" s="83"/>
      <c r="K343" s="83"/>
      <c r="L343" s="83"/>
      <c r="M343" s="6"/>
      <c r="N343" s="83"/>
      <c r="O343" s="83"/>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7"/>
    </row>
    <row r="344" ht="15.75" customHeight="1">
      <c r="A344" s="6"/>
      <c r="B344" s="6"/>
      <c r="C344" s="6"/>
      <c r="D344" s="6"/>
      <c r="E344" s="6"/>
      <c r="F344" s="6"/>
      <c r="G344" s="83"/>
      <c r="H344" s="83"/>
      <c r="I344" s="83"/>
      <c r="J344" s="83"/>
      <c r="K344" s="83"/>
      <c r="L344" s="83"/>
      <c r="M344" s="6"/>
      <c r="N344" s="83"/>
      <c r="O344" s="83"/>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7"/>
    </row>
    <row r="345" ht="15.75" customHeight="1">
      <c r="A345" s="6"/>
      <c r="B345" s="6"/>
      <c r="C345" s="6"/>
      <c r="D345" s="6"/>
      <c r="E345" s="6"/>
      <c r="F345" s="6"/>
      <c r="G345" s="83"/>
      <c r="H345" s="83"/>
      <c r="I345" s="83"/>
      <c r="J345" s="83"/>
      <c r="K345" s="83"/>
      <c r="L345" s="83"/>
      <c r="M345" s="6"/>
      <c r="N345" s="83"/>
      <c r="O345" s="83"/>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7"/>
    </row>
    <row r="346" ht="15.75" customHeight="1">
      <c r="A346" s="6"/>
      <c r="B346" s="6"/>
      <c r="C346" s="6"/>
      <c r="D346" s="6"/>
      <c r="E346" s="6"/>
      <c r="F346" s="6"/>
      <c r="G346" s="83"/>
      <c r="H346" s="83"/>
      <c r="I346" s="83"/>
      <c r="J346" s="83"/>
      <c r="K346" s="83"/>
      <c r="L346" s="83"/>
      <c r="M346" s="6"/>
      <c r="N346" s="83"/>
      <c r="O346" s="83"/>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7"/>
    </row>
    <row r="347" ht="15.75" customHeight="1">
      <c r="A347" s="6"/>
      <c r="B347" s="6"/>
      <c r="C347" s="6"/>
      <c r="D347" s="6"/>
      <c r="E347" s="6"/>
      <c r="F347" s="6"/>
      <c r="G347" s="83"/>
      <c r="H347" s="83"/>
      <c r="I347" s="83"/>
      <c r="J347" s="83"/>
      <c r="K347" s="83"/>
      <c r="L347" s="83"/>
      <c r="M347" s="6"/>
      <c r="N347" s="83"/>
      <c r="O347" s="83"/>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7"/>
    </row>
    <row r="348" ht="15.75" customHeight="1">
      <c r="A348" s="6"/>
      <c r="B348" s="6"/>
      <c r="C348" s="6"/>
      <c r="D348" s="6"/>
      <c r="E348" s="6"/>
      <c r="F348" s="6"/>
      <c r="G348" s="83"/>
      <c r="H348" s="83"/>
      <c r="I348" s="83"/>
      <c r="J348" s="83"/>
      <c r="K348" s="83"/>
      <c r="L348" s="83"/>
      <c r="M348" s="6"/>
      <c r="N348" s="83"/>
      <c r="O348" s="83"/>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7"/>
    </row>
    <row r="349" ht="15.75" customHeight="1">
      <c r="A349" s="6"/>
      <c r="B349" s="6"/>
      <c r="C349" s="6"/>
      <c r="D349" s="6"/>
      <c r="E349" s="6"/>
      <c r="F349" s="6"/>
      <c r="G349" s="83"/>
      <c r="H349" s="83"/>
      <c r="I349" s="83"/>
      <c r="J349" s="83"/>
      <c r="K349" s="83"/>
      <c r="L349" s="83"/>
      <c r="M349" s="6"/>
      <c r="N349" s="83"/>
      <c r="O349" s="83"/>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7"/>
    </row>
    <row r="350" ht="15.75" customHeight="1">
      <c r="A350" s="6"/>
      <c r="B350" s="6"/>
      <c r="C350" s="6"/>
      <c r="D350" s="6"/>
      <c r="E350" s="6"/>
      <c r="F350" s="6"/>
      <c r="G350" s="83"/>
      <c r="H350" s="83"/>
      <c r="I350" s="83"/>
      <c r="J350" s="83"/>
      <c r="K350" s="83"/>
      <c r="L350" s="83"/>
      <c r="M350" s="6"/>
      <c r="N350" s="83"/>
      <c r="O350" s="83"/>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7"/>
    </row>
    <row r="351" ht="15.75" customHeight="1">
      <c r="A351" s="6"/>
      <c r="B351" s="6"/>
      <c r="C351" s="6"/>
      <c r="D351" s="6"/>
      <c r="E351" s="6"/>
      <c r="F351" s="6"/>
      <c r="G351" s="83"/>
      <c r="H351" s="83"/>
      <c r="I351" s="83"/>
      <c r="J351" s="83"/>
      <c r="K351" s="83"/>
      <c r="L351" s="83"/>
      <c r="M351" s="6"/>
      <c r="N351" s="83"/>
      <c r="O351" s="83"/>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7"/>
    </row>
    <row r="352" ht="15.75" customHeight="1">
      <c r="A352" s="6"/>
      <c r="B352" s="6"/>
      <c r="C352" s="6"/>
      <c r="D352" s="6"/>
      <c r="E352" s="6"/>
      <c r="F352" s="6"/>
      <c r="G352" s="83"/>
      <c r="H352" s="83"/>
      <c r="I352" s="83"/>
      <c r="J352" s="83"/>
      <c r="K352" s="83"/>
      <c r="L352" s="83"/>
      <c r="M352" s="6"/>
      <c r="N352" s="83"/>
      <c r="O352" s="83"/>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7"/>
    </row>
    <row r="353" ht="15.75" customHeight="1">
      <c r="A353" s="6"/>
      <c r="B353" s="6"/>
      <c r="C353" s="6"/>
      <c r="D353" s="6"/>
      <c r="E353" s="6"/>
      <c r="F353" s="6"/>
      <c r="G353" s="83"/>
      <c r="H353" s="83"/>
      <c r="I353" s="83"/>
      <c r="J353" s="83"/>
      <c r="K353" s="83"/>
      <c r="L353" s="83"/>
      <c r="M353" s="6"/>
      <c r="N353" s="83"/>
      <c r="O353" s="83"/>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7"/>
    </row>
    <row r="354" ht="15.75" customHeight="1">
      <c r="A354" s="6"/>
      <c r="B354" s="6"/>
      <c r="C354" s="6"/>
      <c r="D354" s="6"/>
      <c r="E354" s="6"/>
      <c r="F354" s="6"/>
      <c r="G354" s="83"/>
      <c r="H354" s="83"/>
      <c r="I354" s="83"/>
      <c r="J354" s="83"/>
      <c r="K354" s="83"/>
      <c r="L354" s="83"/>
      <c r="M354" s="6"/>
      <c r="N354" s="83"/>
      <c r="O354" s="83"/>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7"/>
    </row>
    <row r="355" ht="15.75" customHeight="1">
      <c r="A355" s="6"/>
      <c r="B355" s="6"/>
      <c r="C355" s="6"/>
      <c r="D355" s="6"/>
      <c r="E355" s="6"/>
      <c r="F355" s="6"/>
      <c r="G355" s="83"/>
      <c r="H355" s="83"/>
      <c r="I355" s="83"/>
      <c r="J355" s="83"/>
      <c r="K355" s="83"/>
      <c r="L355" s="83"/>
      <c r="M355" s="6"/>
      <c r="N355" s="83"/>
      <c r="O355" s="83"/>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7"/>
    </row>
    <row r="356" ht="15.75" customHeight="1">
      <c r="A356" s="6"/>
      <c r="B356" s="6"/>
      <c r="C356" s="6"/>
      <c r="D356" s="6"/>
      <c r="E356" s="6"/>
      <c r="F356" s="6"/>
      <c r="G356" s="83"/>
      <c r="H356" s="83"/>
      <c r="I356" s="83"/>
      <c r="J356" s="83"/>
      <c r="K356" s="83"/>
      <c r="L356" s="83"/>
      <c r="M356" s="6"/>
      <c r="N356" s="83"/>
      <c r="O356" s="83"/>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7"/>
    </row>
    <row r="357" ht="15.75" customHeight="1">
      <c r="A357" s="6"/>
      <c r="B357" s="6"/>
      <c r="C357" s="6"/>
      <c r="D357" s="6"/>
      <c r="E357" s="6"/>
      <c r="F357" s="6"/>
      <c r="G357" s="83"/>
      <c r="H357" s="83"/>
      <c r="I357" s="83"/>
      <c r="J357" s="83"/>
      <c r="K357" s="83"/>
      <c r="L357" s="83"/>
      <c r="M357" s="6"/>
      <c r="N357" s="83"/>
      <c r="O357" s="83"/>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7"/>
    </row>
    <row r="358" ht="15.75" customHeight="1">
      <c r="A358" s="6"/>
      <c r="B358" s="6"/>
      <c r="C358" s="6"/>
      <c r="D358" s="6"/>
      <c r="E358" s="6"/>
      <c r="F358" s="6"/>
      <c r="G358" s="83"/>
      <c r="H358" s="83"/>
      <c r="I358" s="83"/>
      <c r="J358" s="83"/>
      <c r="K358" s="83"/>
      <c r="L358" s="83"/>
      <c r="M358" s="6"/>
      <c r="N358" s="83"/>
      <c r="O358" s="83"/>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7"/>
    </row>
    <row r="359" ht="15.75" customHeight="1">
      <c r="A359" s="6"/>
      <c r="B359" s="6"/>
      <c r="C359" s="6"/>
      <c r="D359" s="6"/>
      <c r="E359" s="6"/>
      <c r="F359" s="6"/>
      <c r="G359" s="83"/>
      <c r="H359" s="83"/>
      <c r="I359" s="83"/>
      <c r="J359" s="83"/>
      <c r="K359" s="83"/>
      <c r="L359" s="83"/>
      <c r="M359" s="6"/>
      <c r="N359" s="83"/>
      <c r="O359" s="83"/>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7"/>
    </row>
    <row r="360" ht="15.75" customHeight="1">
      <c r="A360" s="6"/>
      <c r="B360" s="6"/>
      <c r="C360" s="6"/>
      <c r="D360" s="6"/>
      <c r="E360" s="6"/>
      <c r="F360" s="6"/>
      <c r="G360" s="83"/>
      <c r="H360" s="83"/>
      <c r="I360" s="83"/>
      <c r="J360" s="83"/>
      <c r="K360" s="83"/>
      <c r="L360" s="83"/>
      <c r="M360" s="6"/>
      <c r="N360" s="83"/>
      <c r="O360" s="83"/>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7"/>
    </row>
    <row r="361" ht="15.75" customHeight="1">
      <c r="A361" s="6"/>
      <c r="B361" s="6"/>
      <c r="C361" s="6"/>
      <c r="D361" s="6"/>
      <c r="E361" s="6"/>
      <c r="F361" s="6"/>
      <c r="G361" s="83"/>
      <c r="H361" s="83"/>
      <c r="I361" s="83"/>
      <c r="J361" s="83"/>
      <c r="K361" s="83"/>
      <c r="L361" s="83"/>
      <c r="M361" s="6"/>
      <c r="N361" s="83"/>
      <c r="O361" s="83"/>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7"/>
    </row>
    <row r="362" ht="15.75" customHeight="1">
      <c r="A362" s="6"/>
      <c r="B362" s="6"/>
      <c r="C362" s="6"/>
      <c r="D362" s="6"/>
      <c r="E362" s="6"/>
      <c r="F362" s="6"/>
      <c r="G362" s="83"/>
      <c r="H362" s="83"/>
      <c r="I362" s="83"/>
      <c r="J362" s="83"/>
      <c r="K362" s="83"/>
      <c r="L362" s="83"/>
      <c r="M362" s="6"/>
      <c r="N362" s="83"/>
      <c r="O362" s="83"/>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7"/>
    </row>
    <row r="363" ht="15.75" customHeight="1">
      <c r="A363" s="6"/>
      <c r="B363" s="6"/>
      <c r="C363" s="6"/>
      <c r="D363" s="6"/>
      <c r="E363" s="6"/>
      <c r="F363" s="6"/>
      <c r="G363" s="83"/>
      <c r="H363" s="83"/>
      <c r="I363" s="83"/>
      <c r="J363" s="83"/>
      <c r="K363" s="83"/>
      <c r="L363" s="83"/>
      <c r="M363" s="6"/>
      <c r="N363" s="83"/>
      <c r="O363" s="83"/>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7"/>
    </row>
    <row r="364" ht="15.75" customHeight="1">
      <c r="A364" s="6"/>
      <c r="B364" s="6"/>
      <c r="C364" s="6"/>
      <c r="D364" s="6"/>
      <c r="E364" s="6"/>
      <c r="F364" s="6"/>
      <c r="G364" s="83"/>
      <c r="H364" s="83"/>
      <c r="I364" s="83"/>
      <c r="J364" s="83"/>
      <c r="K364" s="83"/>
      <c r="L364" s="83"/>
      <c r="M364" s="6"/>
      <c r="N364" s="83"/>
      <c r="O364" s="83"/>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7"/>
    </row>
    <row r="365" ht="15.75" customHeight="1">
      <c r="A365" s="6"/>
      <c r="B365" s="6"/>
      <c r="C365" s="6"/>
      <c r="D365" s="6"/>
      <c r="E365" s="6"/>
      <c r="F365" s="6"/>
      <c r="G365" s="83"/>
      <c r="H365" s="83"/>
      <c r="I365" s="83"/>
      <c r="J365" s="83"/>
      <c r="K365" s="83"/>
      <c r="L365" s="83"/>
      <c r="M365" s="6"/>
      <c r="N365" s="83"/>
      <c r="O365" s="83"/>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7"/>
    </row>
    <row r="366" ht="15.75" customHeight="1">
      <c r="A366" s="6"/>
      <c r="B366" s="6"/>
      <c r="C366" s="6"/>
      <c r="D366" s="6"/>
      <c r="E366" s="6"/>
      <c r="F366" s="6"/>
      <c r="G366" s="83"/>
      <c r="H366" s="83"/>
      <c r="I366" s="83"/>
      <c r="J366" s="83"/>
      <c r="K366" s="83"/>
      <c r="L366" s="83"/>
      <c r="M366" s="6"/>
      <c r="N366" s="83"/>
      <c r="O366" s="83"/>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7"/>
    </row>
    <row r="367" ht="15.75" customHeight="1">
      <c r="A367" s="6"/>
      <c r="B367" s="6"/>
      <c r="C367" s="6"/>
      <c r="D367" s="6"/>
      <c r="E367" s="6"/>
      <c r="F367" s="6"/>
      <c r="G367" s="83"/>
      <c r="H367" s="83"/>
      <c r="I367" s="83"/>
      <c r="J367" s="83"/>
      <c r="K367" s="83"/>
      <c r="L367" s="83"/>
      <c r="M367" s="6"/>
      <c r="N367" s="83"/>
      <c r="O367" s="83"/>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7"/>
    </row>
    <row r="368" ht="15.75" customHeight="1">
      <c r="A368" s="6"/>
      <c r="B368" s="6"/>
      <c r="C368" s="6"/>
      <c r="D368" s="6"/>
      <c r="E368" s="6"/>
      <c r="F368" s="6"/>
      <c r="G368" s="83"/>
      <c r="H368" s="83"/>
      <c r="I368" s="83"/>
      <c r="J368" s="83"/>
      <c r="K368" s="83"/>
      <c r="L368" s="83"/>
      <c r="M368" s="6"/>
      <c r="N368" s="83"/>
      <c r="O368" s="83"/>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7"/>
    </row>
    <row r="369" ht="15.75" customHeight="1">
      <c r="A369" s="6"/>
      <c r="B369" s="6"/>
      <c r="C369" s="6"/>
      <c r="D369" s="6"/>
      <c r="E369" s="6"/>
      <c r="F369" s="6"/>
      <c r="G369" s="83"/>
      <c r="H369" s="83"/>
      <c r="I369" s="83"/>
      <c r="J369" s="83"/>
      <c r="K369" s="83"/>
      <c r="L369" s="83"/>
      <c r="M369" s="6"/>
      <c r="N369" s="83"/>
      <c r="O369" s="83"/>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7"/>
    </row>
    <row r="370" ht="15.75" customHeight="1">
      <c r="A370" s="6"/>
      <c r="B370" s="6"/>
      <c r="C370" s="6"/>
      <c r="D370" s="6"/>
      <c r="E370" s="6"/>
      <c r="F370" s="6"/>
      <c r="G370" s="83"/>
      <c r="H370" s="83"/>
      <c r="I370" s="83"/>
      <c r="J370" s="83"/>
      <c r="K370" s="83"/>
      <c r="L370" s="83"/>
      <c r="M370" s="6"/>
      <c r="N370" s="83"/>
      <c r="O370" s="83"/>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7"/>
    </row>
    <row r="371" ht="15.75" customHeight="1">
      <c r="A371" s="6"/>
      <c r="B371" s="6"/>
      <c r="C371" s="6"/>
      <c r="D371" s="6"/>
      <c r="E371" s="6"/>
      <c r="F371" s="6"/>
      <c r="G371" s="83"/>
      <c r="H371" s="83"/>
      <c r="I371" s="83"/>
      <c r="J371" s="83"/>
      <c r="K371" s="83"/>
      <c r="L371" s="83"/>
      <c r="M371" s="6"/>
      <c r="N371" s="83"/>
      <c r="O371" s="83"/>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7"/>
    </row>
    <row r="372" ht="15.75" customHeight="1">
      <c r="A372" s="6"/>
      <c r="B372" s="6"/>
      <c r="C372" s="6"/>
      <c r="D372" s="6"/>
      <c r="E372" s="6"/>
      <c r="F372" s="6"/>
      <c r="G372" s="83"/>
      <c r="H372" s="83"/>
      <c r="I372" s="83"/>
      <c r="J372" s="83"/>
      <c r="K372" s="83"/>
      <c r="L372" s="83"/>
      <c r="M372" s="6"/>
      <c r="N372" s="83"/>
      <c r="O372" s="83"/>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7"/>
    </row>
    <row r="373" ht="15.75" customHeight="1">
      <c r="A373" s="6"/>
      <c r="B373" s="6"/>
      <c r="C373" s="6"/>
      <c r="D373" s="6"/>
      <c r="E373" s="6"/>
      <c r="F373" s="6"/>
      <c r="G373" s="83"/>
      <c r="H373" s="83"/>
      <c r="I373" s="83"/>
      <c r="J373" s="83"/>
      <c r="K373" s="83"/>
      <c r="L373" s="83"/>
      <c r="M373" s="6"/>
      <c r="N373" s="83"/>
      <c r="O373" s="83"/>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7"/>
    </row>
    <row r="374" ht="15.75" customHeight="1">
      <c r="A374" s="6"/>
      <c r="B374" s="6"/>
      <c r="C374" s="6"/>
      <c r="D374" s="6"/>
      <c r="E374" s="6"/>
      <c r="F374" s="6"/>
      <c r="G374" s="83"/>
      <c r="H374" s="83"/>
      <c r="I374" s="83"/>
      <c r="J374" s="83"/>
      <c r="K374" s="83"/>
      <c r="L374" s="83"/>
      <c r="M374" s="6"/>
      <c r="N374" s="83"/>
      <c r="O374" s="83"/>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7"/>
    </row>
    <row r="375" ht="15.75" customHeight="1">
      <c r="A375" s="6"/>
      <c r="B375" s="6"/>
      <c r="C375" s="6"/>
      <c r="D375" s="6"/>
      <c r="E375" s="6"/>
      <c r="F375" s="6"/>
      <c r="G375" s="83"/>
      <c r="H375" s="83"/>
      <c r="I375" s="83"/>
      <c r="J375" s="83"/>
      <c r="K375" s="83"/>
      <c r="L375" s="83"/>
      <c r="M375" s="6"/>
      <c r="N375" s="83"/>
      <c r="O375" s="83"/>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7"/>
    </row>
    <row r="376" ht="15.75" customHeight="1">
      <c r="A376" s="6"/>
      <c r="B376" s="6"/>
      <c r="C376" s="6"/>
      <c r="D376" s="6"/>
      <c r="E376" s="6"/>
      <c r="F376" s="6"/>
      <c r="G376" s="83"/>
      <c r="H376" s="83"/>
      <c r="I376" s="83"/>
      <c r="J376" s="83"/>
      <c r="K376" s="83"/>
      <c r="L376" s="83"/>
      <c r="M376" s="6"/>
      <c r="N376" s="83"/>
      <c r="O376" s="83"/>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7"/>
    </row>
    <row r="377" ht="15.75" customHeight="1">
      <c r="A377" s="6"/>
      <c r="B377" s="6"/>
      <c r="C377" s="6"/>
      <c r="D377" s="6"/>
      <c r="E377" s="6"/>
      <c r="F377" s="6"/>
      <c r="G377" s="83"/>
      <c r="H377" s="83"/>
      <c r="I377" s="83"/>
      <c r="J377" s="83"/>
      <c r="K377" s="83"/>
      <c r="L377" s="83"/>
      <c r="M377" s="6"/>
      <c r="N377" s="83"/>
      <c r="O377" s="83"/>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7"/>
    </row>
    <row r="378" ht="15.75" customHeight="1">
      <c r="A378" s="6"/>
      <c r="B378" s="6"/>
      <c r="C378" s="6"/>
      <c r="D378" s="6"/>
      <c r="E378" s="6"/>
      <c r="F378" s="6"/>
      <c r="G378" s="83"/>
      <c r="H378" s="83"/>
      <c r="I378" s="83"/>
      <c r="J378" s="83"/>
      <c r="K378" s="83"/>
      <c r="L378" s="83"/>
      <c r="M378" s="6"/>
      <c r="N378" s="83"/>
      <c r="O378" s="83"/>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7"/>
    </row>
    <row r="379" ht="15.75" customHeight="1">
      <c r="A379" s="6"/>
      <c r="B379" s="6"/>
      <c r="C379" s="6"/>
      <c r="D379" s="6"/>
      <c r="E379" s="6"/>
      <c r="F379" s="6"/>
      <c r="G379" s="83"/>
      <c r="H379" s="83"/>
      <c r="I379" s="83"/>
      <c r="J379" s="83"/>
      <c r="K379" s="83"/>
      <c r="L379" s="83"/>
      <c r="M379" s="6"/>
      <c r="N379" s="83"/>
      <c r="O379" s="83"/>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7"/>
    </row>
    <row r="380" ht="15.75" customHeight="1">
      <c r="A380" s="6"/>
      <c r="B380" s="6"/>
      <c r="C380" s="6"/>
      <c r="D380" s="6"/>
      <c r="E380" s="6"/>
      <c r="F380" s="6"/>
      <c r="G380" s="83"/>
      <c r="H380" s="83"/>
      <c r="I380" s="83"/>
      <c r="J380" s="83"/>
      <c r="K380" s="83"/>
      <c r="L380" s="83"/>
      <c r="M380" s="6"/>
      <c r="N380" s="83"/>
      <c r="O380" s="83"/>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7"/>
    </row>
    <row r="381" ht="15.75" customHeight="1">
      <c r="A381" s="6"/>
      <c r="B381" s="6"/>
      <c r="C381" s="6"/>
      <c r="D381" s="6"/>
      <c r="E381" s="6"/>
      <c r="F381" s="6"/>
      <c r="G381" s="83"/>
      <c r="H381" s="83"/>
      <c r="I381" s="83"/>
      <c r="J381" s="83"/>
      <c r="K381" s="83"/>
      <c r="L381" s="83"/>
      <c r="M381" s="6"/>
      <c r="N381" s="83"/>
      <c r="O381" s="83"/>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7"/>
    </row>
    <row r="382" ht="15.75" customHeight="1">
      <c r="A382" s="6"/>
      <c r="B382" s="6"/>
      <c r="C382" s="6"/>
      <c r="D382" s="6"/>
      <c r="E382" s="6"/>
      <c r="F382" s="6"/>
      <c r="G382" s="83"/>
      <c r="H382" s="83"/>
      <c r="I382" s="83"/>
      <c r="J382" s="83"/>
      <c r="K382" s="83"/>
      <c r="L382" s="83"/>
      <c r="M382" s="6"/>
      <c r="N382" s="83"/>
      <c r="O382" s="83"/>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7"/>
    </row>
    <row r="383" ht="15.75" customHeight="1">
      <c r="A383" s="6"/>
      <c r="B383" s="6"/>
      <c r="C383" s="6"/>
      <c r="D383" s="6"/>
      <c r="E383" s="6"/>
      <c r="F383" s="6"/>
      <c r="G383" s="83"/>
      <c r="H383" s="83"/>
      <c r="I383" s="83"/>
      <c r="J383" s="83"/>
      <c r="K383" s="83"/>
      <c r="L383" s="83"/>
      <c r="M383" s="6"/>
      <c r="N383" s="83"/>
      <c r="O383" s="83"/>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7"/>
    </row>
    <row r="384" ht="15.75" customHeight="1">
      <c r="A384" s="6"/>
      <c r="B384" s="6"/>
      <c r="C384" s="6"/>
      <c r="D384" s="6"/>
      <c r="E384" s="6"/>
      <c r="F384" s="6"/>
      <c r="G384" s="83"/>
      <c r="H384" s="83"/>
      <c r="I384" s="83"/>
      <c r="J384" s="83"/>
      <c r="K384" s="83"/>
      <c r="L384" s="83"/>
      <c r="M384" s="6"/>
      <c r="N384" s="83"/>
      <c r="O384" s="83"/>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7"/>
    </row>
    <row r="385" ht="15.75" customHeight="1">
      <c r="A385" s="6"/>
      <c r="B385" s="6"/>
      <c r="C385" s="6"/>
      <c r="D385" s="6"/>
      <c r="E385" s="6"/>
      <c r="F385" s="6"/>
      <c r="G385" s="83"/>
      <c r="H385" s="83"/>
      <c r="I385" s="83"/>
      <c r="J385" s="83"/>
      <c r="K385" s="83"/>
      <c r="L385" s="83"/>
      <c r="M385" s="6"/>
      <c r="N385" s="83"/>
      <c r="O385" s="83"/>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7"/>
    </row>
    <row r="386" ht="15.75" customHeight="1">
      <c r="A386" s="6"/>
      <c r="B386" s="6"/>
      <c r="C386" s="6"/>
      <c r="D386" s="6"/>
      <c r="E386" s="6"/>
      <c r="F386" s="6"/>
      <c r="G386" s="83"/>
      <c r="H386" s="83"/>
      <c r="I386" s="83"/>
      <c r="J386" s="83"/>
      <c r="K386" s="83"/>
      <c r="L386" s="83"/>
      <c r="M386" s="6"/>
      <c r="N386" s="83"/>
      <c r="O386" s="83"/>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7"/>
    </row>
    <row r="387" ht="15.75" customHeight="1">
      <c r="A387" s="6"/>
      <c r="B387" s="6"/>
      <c r="C387" s="6"/>
      <c r="D387" s="6"/>
      <c r="E387" s="6"/>
      <c r="F387" s="6"/>
      <c r="G387" s="83"/>
      <c r="H387" s="83"/>
      <c r="I387" s="83"/>
      <c r="J387" s="83"/>
      <c r="K387" s="83"/>
      <c r="L387" s="83"/>
      <c r="M387" s="6"/>
      <c r="N387" s="83"/>
      <c r="O387" s="83"/>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7"/>
    </row>
    <row r="388" ht="15.75" customHeight="1">
      <c r="A388" s="6"/>
      <c r="B388" s="6"/>
      <c r="C388" s="6"/>
      <c r="D388" s="6"/>
      <c r="E388" s="6"/>
      <c r="F388" s="6"/>
      <c r="G388" s="83"/>
      <c r="H388" s="83"/>
      <c r="I388" s="83"/>
      <c r="J388" s="83"/>
      <c r="K388" s="83"/>
      <c r="L388" s="83"/>
      <c r="M388" s="6"/>
      <c r="N388" s="83"/>
      <c r="O388" s="83"/>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7"/>
    </row>
    <row r="389" ht="15.75" customHeight="1">
      <c r="A389" s="6"/>
      <c r="B389" s="6"/>
      <c r="C389" s="6"/>
      <c r="D389" s="6"/>
      <c r="E389" s="6"/>
      <c r="F389" s="6"/>
      <c r="G389" s="83"/>
      <c r="H389" s="83"/>
      <c r="I389" s="83"/>
      <c r="J389" s="83"/>
      <c r="K389" s="83"/>
      <c r="L389" s="83"/>
      <c r="M389" s="6"/>
      <c r="N389" s="83"/>
      <c r="O389" s="83"/>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7"/>
    </row>
    <row r="390" ht="15.75" customHeight="1">
      <c r="A390" s="6"/>
      <c r="B390" s="6"/>
      <c r="C390" s="6"/>
      <c r="D390" s="6"/>
      <c r="E390" s="6"/>
      <c r="F390" s="6"/>
      <c r="G390" s="83"/>
      <c r="H390" s="83"/>
      <c r="I390" s="83"/>
      <c r="J390" s="83"/>
      <c r="K390" s="83"/>
      <c r="L390" s="83"/>
      <c r="M390" s="6"/>
      <c r="N390" s="83"/>
      <c r="O390" s="83"/>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7"/>
    </row>
    <row r="391" ht="15.75" customHeight="1">
      <c r="A391" s="6"/>
      <c r="B391" s="6"/>
      <c r="C391" s="6"/>
      <c r="D391" s="6"/>
      <c r="E391" s="6"/>
      <c r="F391" s="6"/>
      <c r="G391" s="83"/>
      <c r="H391" s="83"/>
      <c r="I391" s="83"/>
      <c r="J391" s="83"/>
      <c r="K391" s="83"/>
      <c r="L391" s="83"/>
      <c r="M391" s="6"/>
      <c r="N391" s="83"/>
      <c r="O391" s="83"/>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7"/>
    </row>
    <row r="392" ht="15.75" customHeight="1">
      <c r="A392" s="6"/>
      <c r="B392" s="6"/>
      <c r="C392" s="6"/>
      <c r="D392" s="6"/>
      <c r="E392" s="6"/>
      <c r="F392" s="6"/>
      <c r="G392" s="83"/>
      <c r="H392" s="83"/>
      <c r="I392" s="83"/>
      <c r="J392" s="83"/>
      <c r="K392" s="83"/>
      <c r="L392" s="83"/>
      <c r="M392" s="6"/>
      <c r="N392" s="83"/>
      <c r="O392" s="83"/>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7"/>
    </row>
    <row r="393" ht="15.75" customHeight="1">
      <c r="A393" s="6"/>
      <c r="B393" s="6"/>
      <c r="C393" s="6"/>
      <c r="D393" s="6"/>
      <c r="E393" s="6"/>
      <c r="F393" s="6"/>
      <c r="G393" s="83"/>
      <c r="H393" s="83"/>
      <c r="I393" s="83"/>
      <c r="J393" s="83"/>
      <c r="K393" s="83"/>
      <c r="L393" s="83"/>
      <c r="M393" s="6"/>
      <c r="N393" s="83"/>
      <c r="O393" s="83"/>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7"/>
    </row>
    <row r="394" ht="15.75" customHeight="1">
      <c r="A394" s="6"/>
      <c r="B394" s="6"/>
      <c r="C394" s="6"/>
      <c r="D394" s="6"/>
      <c r="E394" s="6"/>
      <c r="F394" s="6"/>
      <c r="G394" s="83"/>
      <c r="H394" s="83"/>
      <c r="I394" s="83"/>
      <c r="J394" s="83"/>
      <c r="K394" s="83"/>
      <c r="L394" s="83"/>
      <c r="M394" s="6"/>
      <c r="N394" s="83"/>
      <c r="O394" s="83"/>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7"/>
    </row>
    <row r="395" ht="15.75" customHeight="1">
      <c r="A395" s="6"/>
      <c r="B395" s="6"/>
      <c r="C395" s="6"/>
      <c r="D395" s="6"/>
      <c r="E395" s="6"/>
      <c r="F395" s="6"/>
      <c r="G395" s="83"/>
      <c r="H395" s="83"/>
      <c r="I395" s="83"/>
      <c r="J395" s="83"/>
      <c r="K395" s="83"/>
      <c r="L395" s="83"/>
      <c r="M395" s="6"/>
      <c r="N395" s="83"/>
      <c r="O395" s="83"/>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7"/>
    </row>
    <row r="396" ht="15.75" customHeight="1">
      <c r="A396" s="6"/>
      <c r="B396" s="6"/>
      <c r="C396" s="6"/>
      <c r="D396" s="6"/>
      <c r="E396" s="6"/>
      <c r="F396" s="6"/>
      <c r="G396" s="83"/>
      <c r="H396" s="83"/>
      <c r="I396" s="83"/>
      <c r="J396" s="83"/>
      <c r="K396" s="83"/>
      <c r="L396" s="83"/>
      <c r="M396" s="6"/>
      <c r="N396" s="83"/>
      <c r="O396" s="83"/>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7"/>
    </row>
    <row r="397" ht="15.75" customHeight="1">
      <c r="A397" s="6"/>
      <c r="B397" s="6"/>
      <c r="C397" s="6"/>
      <c r="D397" s="6"/>
      <c r="E397" s="6"/>
      <c r="F397" s="6"/>
      <c r="G397" s="83"/>
      <c r="H397" s="83"/>
      <c r="I397" s="83"/>
      <c r="J397" s="83"/>
      <c r="K397" s="83"/>
      <c r="L397" s="83"/>
      <c r="M397" s="6"/>
      <c r="N397" s="83"/>
      <c r="O397" s="83"/>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7"/>
    </row>
    <row r="398" ht="15.75" customHeight="1">
      <c r="A398" s="6"/>
      <c r="B398" s="6"/>
      <c r="C398" s="6"/>
      <c r="D398" s="6"/>
      <c r="E398" s="6"/>
      <c r="F398" s="6"/>
      <c r="G398" s="83"/>
      <c r="H398" s="83"/>
      <c r="I398" s="83"/>
      <c r="J398" s="83"/>
      <c r="K398" s="83"/>
      <c r="L398" s="83"/>
      <c r="M398" s="6"/>
      <c r="N398" s="83"/>
      <c r="O398" s="83"/>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7"/>
    </row>
    <row r="399" ht="15.75" customHeight="1">
      <c r="A399" s="6"/>
      <c r="B399" s="6"/>
      <c r="C399" s="6"/>
      <c r="D399" s="6"/>
      <c r="E399" s="6"/>
      <c r="F399" s="6"/>
      <c r="G399" s="83"/>
      <c r="H399" s="83"/>
      <c r="I399" s="83"/>
      <c r="J399" s="83"/>
      <c r="K399" s="83"/>
      <c r="L399" s="83"/>
      <c r="M399" s="6"/>
      <c r="N399" s="83"/>
      <c r="O399" s="83"/>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7"/>
    </row>
    <row r="400" ht="15.75" customHeight="1">
      <c r="A400" s="6"/>
      <c r="B400" s="6"/>
      <c r="C400" s="6"/>
      <c r="D400" s="6"/>
      <c r="E400" s="6"/>
      <c r="F400" s="6"/>
      <c r="G400" s="83"/>
      <c r="H400" s="83"/>
      <c r="I400" s="83"/>
      <c r="J400" s="83"/>
      <c r="K400" s="83"/>
      <c r="L400" s="83"/>
      <c r="M400" s="6"/>
      <c r="N400" s="83"/>
      <c r="O400" s="83"/>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7"/>
    </row>
    <row r="401" ht="15.75" customHeight="1">
      <c r="A401" s="6"/>
      <c r="B401" s="6"/>
      <c r="C401" s="6"/>
      <c r="D401" s="6"/>
      <c r="E401" s="6"/>
      <c r="F401" s="6"/>
      <c r="G401" s="83"/>
      <c r="H401" s="83"/>
      <c r="I401" s="83"/>
      <c r="J401" s="83"/>
      <c r="K401" s="83"/>
      <c r="L401" s="83"/>
      <c r="M401" s="6"/>
      <c r="N401" s="83"/>
      <c r="O401" s="83"/>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7"/>
    </row>
    <row r="402" ht="15.75" customHeight="1">
      <c r="A402" s="6"/>
      <c r="B402" s="6"/>
      <c r="C402" s="6"/>
      <c r="D402" s="6"/>
      <c r="E402" s="6"/>
      <c r="F402" s="6"/>
      <c r="G402" s="83"/>
      <c r="H402" s="83"/>
      <c r="I402" s="83"/>
      <c r="J402" s="83"/>
      <c r="K402" s="83"/>
      <c r="L402" s="83"/>
      <c r="M402" s="6"/>
      <c r="N402" s="83"/>
      <c r="O402" s="83"/>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7"/>
    </row>
    <row r="403" ht="15.75" customHeight="1">
      <c r="A403" s="6"/>
      <c r="B403" s="6"/>
      <c r="C403" s="6"/>
      <c r="D403" s="6"/>
      <c r="E403" s="6"/>
      <c r="F403" s="6"/>
      <c r="G403" s="83"/>
      <c r="H403" s="83"/>
      <c r="I403" s="83"/>
      <c r="J403" s="83"/>
      <c r="K403" s="83"/>
      <c r="L403" s="83"/>
      <c r="M403" s="6"/>
      <c r="N403" s="83"/>
      <c r="O403" s="83"/>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7"/>
    </row>
    <row r="404" ht="15.75" customHeight="1">
      <c r="A404" s="6"/>
      <c r="B404" s="6"/>
      <c r="C404" s="6"/>
      <c r="D404" s="6"/>
      <c r="E404" s="6"/>
      <c r="F404" s="6"/>
      <c r="G404" s="83"/>
      <c r="H404" s="83"/>
      <c r="I404" s="83"/>
      <c r="J404" s="83"/>
      <c r="K404" s="83"/>
      <c r="L404" s="83"/>
      <c r="M404" s="6"/>
      <c r="N404" s="83"/>
      <c r="O404" s="83"/>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7"/>
    </row>
    <row r="405" ht="15.75" customHeight="1">
      <c r="A405" s="6"/>
      <c r="B405" s="6"/>
      <c r="C405" s="6"/>
      <c r="D405" s="6"/>
      <c r="E405" s="6"/>
      <c r="F405" s="6"/>
      <c r="G405" s="83"/>
      <c r="H405" s="83"/>
      <c r="I405" s="83"/>
      <c r="J405" s="83"/>
      <c r="K405" s="83"/>
      <c r="L405" s="83"/>
      <c r="M405" s="6"/>
      <c r="N405" s="83"/>
      <c r="O405" s="83"/>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7"/>
    </row>
    <row r="406" ht="15.75" customHeight="1">
      <c r="A406" s="6"/>
      <c r="B406" s="6"/>
      <c r="C406" s="6"/>
      <c r="D406" s="6"/>
      <c r="E406" s="6"/>
      <c r="F406" s="6"/>
      <c r="G406" s="83"/>
      <c r="H406" s="83"/>
      <c r="I406" s="83"/>
      <c r="J406" s="83"/>
      <c r="K406" s="83"/>
      <c r="L406" s="83"/>
      <c r="M406" s="6"/>
      <c r="N406" s="83"/>
      <c r="O406" s="83"/>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7"/>
    </row>
    <row r="407" ht="15.75" customHeight="1">
      <c r="A407" s="6"/>
      <c r="B407" s="6"/>
      <c r="C407" s="6"/>
      <c r="D407" s="6"/>
      <c r="E407" s="6"/>
      <c r="F407" s="6"/>
      <c r="G407" s="83"/>
      <c r="H407" s="83"/>
      <c r="I407" s="83"/>
      <c r="J407" s="83"/>
      <c r="K407" s="83"/>
      <c r="L407" s="83"/>
      <c r="M407" s="6"/>
      <c r="N407" s="83"/>
      <c r="O407" s="83"/>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7"/>
    </row>
    <row r="408" ht="15.75" customHeight="1">
      <c r="A408" s="6"/>
      <c r="B408" s="6"/>
      <c r="C408" s="6"/>
      <c r="D408" s="6"/>
      <c r="E408" s="6"/>
      <c r="F408" s="6"/>
      <c r="G408" s="83"/>
      <c r="H408" s="83"/>
      <c r="I408" s="83"/>
      <c r="J408" s="83"/>
      <c r="K408" s="83"/>
      <c r="L408" s="83"/>
      <c r="M408" s="6"/>
      <c r="N408" s="83"/>
      <c r="O408" s="83"/>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7"/>
    </row>
    <row r="409" ht="15.75" customHeight="1">
      <c r="A409" s="6"/>
      <c r="B409" s="6"/>
      <c r="C409" s="6"/>
      <c r="D409" s="6"/>
      <c r="E409" s="6"/>
      <c r="F409" s="6"/>
      <c r="G409" s="83"/>
      <c r="H409" s="83"/>
      <c r="I409" s="83"/>
      <c r="J409" s="83"/>
      <c r="K409" s="83"/>
      <c r="L409" s="83"/>
      <c r="M409" s="6"/>
      <c r="N409" s="83"/>
      <c r="O409" s="83"/>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7"/>
    </row>
    <row r="410" ht="15.75" customHeight="1">
      <c r="A410" s="6"/>
      <c r="B410" s="6"/>
      <c r="C410" s="6"/>
      <c r="D410" s="6"/>
      <c r="E410" s="6"/>
      <c r="F410" s="6"/>
      <c r="G410" s="83"/>
      <c r="H410" s="83"/>
      <c r="I410" s="83"/>
      <c r="J410" s="83"/>
      <c r="K410" s="83"/>
      <c r="L410" s="83"/>
      <c r="M410" s="6"/>
      <c r="N410" s="83"/>
      <c r="O410" s="83"/>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7"/>
    </row>
    <row r="411" ht="15.75" customHeight="1">
      <c r="A411" s="6"/>
      <c r="B411" s="6"/>
      <c r="C411" s="6"/>
      <c r="D411" s="6"/>
      <c r="E411" s="6"/>
      <c r="F411" s="6"/>
      <c r="G411" s="83"/>
      <c r="H411" s="83"/>
      <c r="I411" s="83"/>
      <c r="J411" s="83"/>
      <c r="K411" s="83"/>
      <c r="L411" s="83"/>
      <c r="M411" s="6"/>
      <c r="N411" s="83"/>
      <c r="O411" s="83"/>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7"/>
    </row>
    <row r="412" ht="15.75" customHeight="1">
      <c r="A412" s="6"/>
      <c r="B412" s="6"/>
      <c r="C412" s="6"/>
      <c r="D412" s="6"/>
      <c r="E412" s="6"/>
      <c r="F412" s="6"/>
      <c r="G412" s="83"/>
      <c r="H412" s="83"/>
      <c r="I412" s="83"/>
      <c r="J412" s="83"/>
      <c r="K412" s="83"/>
      <c r="L412" s="83"/>
      <c r="M412" s="6"/>
      <c r="N412" s="83"/>
      <c r="O412" s="83"/>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7"/>
    </row>
    <row r="413" ht="15.75" customHeight="1">
      <c r="A413" s="6"/>
      <c r="B413" s="6"/>
      <c r="C413" s="6"/>
      <c r="D413" s="6"/>
      <c r="E413" s="6"/>
      <c r="F413" s="6"/>
      <c r="G413" s="83"/>
      <c r="H413" s="83"/>
      <c r="I413" s="83"/>
      <c r="J413" s="83"/>
      <c r="K413" s="83"/>
      <c r="L413" s="83"/>
      <c r="M413" s="6"/>
      <c r="N413" s="83"/>
      <c r="O413" s="83"/>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7"/>
    </row>
    <row r="414" ht="15.75" customHeight="1">
      <c r="A414" s="6"/>
      <c r="B414" s="6"/>
      <c r="C414" s="6"/>
      <c r="D414" s="6"/>
      <c r="E414" s="6"/>
      <c r="F414" s="6"/>
      <c r="G414" s="83"/>
      <c r="H414" s="83"/>
      <c r="I414" s="83"/>
      <c r="J414" s="83"/>
      <c r="K414" s="83"/>
      <c r="L414" s="83"/>
      <c r="M414" s="6"/>
      <c r="N414" s="83"/>
      <c r="O414" s="83"/>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7"/>
    </row>
    <row r="415" ht="15.75" customHeight="1">
      <c r="A415" s="6"/>
      <c r="B415" s="6"/>
      <c r="C415" s="6"/>
      <c r="D415" s="6"/>
      <c r="E415" s="6"/>
      <c r="F415" s="6"/>
      <c r="G415" s="83"/>
      <c r="H415" s="83"/>
      <c r="I415" s="83"/>
      <c r="J415" s="83"/>
      <c r="K415" s="83"/>
      <c r="L415" s="83"/>
      <c r="M415" s="6"/>
      <c r="N415" s="83"/>
      <c r="O415" s="83"/>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7"/>
    </row>
    <row r="416" ht="15.75" customHeight="1">
      <c r="A416" s="6"/>
      <c r="B416" s="6"/>
      <c r="C416" s="6"/>
      <c r="D416" s="6"/>
      <c r="E416" s="6"/>
      <c r="F416" s="6"/>
      <c r="G416" s="83"/>
      <c r="H416" s="83"/>
      <c r="I416" s="83"/>
      <c r="J416" s="83"/>
      <c r="K416" s="83"/>
      <c r="L416" s="83"/>
      <c r="M416" s="6"/>
      <c r="N416" s="83"/>
      <c r="O416" s="83"/>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7"/>
    </row>
    <row r="417" ht="15.75" customHeight="1">
      <c r="A417" s="6"/>
      <c r="B417" s="6"/>
      <c r="C417" s="6"/>
      <c r="D417" s="6"/>
      <c r="E417" s="6"/>
      <c r="F417" s="6"/>
      <c r="G417" s="83"/>
      <c r="H417" s="83"/>
      <c r="I417" s="83"/>
      <c r="J417" s="83"/>
      <c r="K417" s="83"/>
      <c r="L417" s="83"/>
      <c r="M417" s="6"/>
      <c r="N417" s="83"/>
      <c r="O417" s="83"/>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7"/>
    </row>
    <row r="418" ht="15.75" customHeight="1">
      <c r="A418" s="6"/>
      <c r="B418" s="6"/>
      <c r="C418" s="6"/>
      <c r="D418" s="6"/>
      <c r="E418" s="6"/>
      <c r="F418" s="6"/>
      <c r="G418" s="83"/>
      <c r="H418" s="83"/>
      <c r="I418" s="83"/>
      <c r="J418" s="83"/>
      <c r="K418" s="83"/>
      <c r="L418" s="83"/>
      <c r="M418" s="6"/>
      <c r="N418" s="83"/>
      <c r="O418" s="83"/>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7"/>
    </row>
    <row r="419" ht="15.75" customHeight="1">
      <c r="A419" s="6"/>
      <c r="B419" s="6"/>
      <c r="C419" s="6"/>
      <c r="D419" s="6"/>
      <c r="E419" s="6"/>
      <c r="F419" s="6"/>
      <c r="G419" s="83"/>
      <c r="H419" s="83"/>
      <c r="I419" s="83"/>
      <c r="J419" s="83"/>
      <c r="K419" s="83"/>
      <c r="L419" s="83"/>
      <c r="M419" s="6"/>
      <c r="N419" s="83"/>
      <c r="O419" s="83"/>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7"/>
    </row>
    <row r="420" ht="15.75" customHeight="1">
      <c r="A420" s="6"/>
      <c r="B420" s="6"/>
      <c r="C420" s="6"/>
      <c r="D420" s="6"/>
      <c r="E420" s="6"/>
      <c r="F420" s="6"/>
      <c r="G420" s="83"/>
      <c r="H420" s="83"/>
      <c r="I420" s="83"/>
      <c r="J420" s="83"/>
      <c r="K420" s="83"/>
      <c r="L420" s="83"/>
      <c r="M420" s="6"/>
      <c r="N420" s="83"/>
      <c r="O420" s="83"/>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7"/>
    </row>
    <row r="421" ht="15.75" customHeight="1">
      <c r="A421" s="6"/>
      <c r="B421" s="6"/>
      <c r="C421" s="6"/>
      <c r="D421" s="6"/>
      <c r="E421" s="6"/>
      <c r="F421" s="6"/>
      <c r="G421" s="83"/>
      <c r="H421" s="83"/>
      <c r="I421" s="83"/>
      <c r="J421" s="83"/>
      <c r="K421" s="83"/>
      <c r="L421" s="83"/>
      <c r="M421" s="6"/>
      <c r="N421" s="83"/>
      <c r="O421" s="83"/>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7"/>
    </row>
    <row r="422" ht="15.75" customHeight="1">
      <c r="A422" s="6"/>
      <c r="B422" s="6"/>
      <c r="C422" s="6"/>
      <c r="D422" s="6"/>
      <c r="E422" s="6"/>
      <c r="F422" s="6"/>
      <c r="G422" s="83"/>
      <c r="H422" s="83"/>
      <c r="I422" s="83"/>
      <c r="J422" s="83"/>
      <c r="K422" s="83"/>
      <c r="L422" s="83"/>
      <c r="M422" s="6"/>
      <c r="N422" s="83"/>
      <c r="O422" s="83"/>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7"/>
    </row>
    <row r="423" ht="15.75" customHeight="1">
      <c r="A423" s="6"/>
      <c r="B423" s="6"/>
      <c r="C423" s="6"/>
      <c r="D423" s="6"/>
      <c r="E423" s="6"/>
      <c r="F423" s="6"/>
      <c r="G423" s="83"/>
      <c r="H423" s="83"/>
      <c r="I423" s="83"/>
      <c r="J423" s="83"/>
      <c r="K423" s="83"/>
      <c r="L423" s="83"/>
      <c r="M423" s="6"/>
      <c r="N423" s="83"/>
      <c r="O423" s="83"/>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7"/>
    </row>
    <row r="424" ht="15.75" customHeight="1">
      <c r="A424" s="6"/>
      <c r="B424" s="6"/>
      <c r="C424" s="6"/>
      <c r="D424" s="6"/>
      <c r="E424" s="6"/>
      <c r="F424" s="6"/>
      <c r="G424" s="83"/>
      <c r="H424" s="83"/>
      <c r="I424" s="83"/>
      <c r="J424" s="83"/>
      <c r="K424" s="83"/>
      <c r="L424" s="83"/>
      <c r="M424" s="6"/>
      <c r="N424" s="83"/>
      <c r="O424" s="83"/>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7"/>
    </row>
    <row r="425" ht="15.75" customHeight="1">
      <c r="A425" s="6"/>
      <c r="B425" s="6"/>
      <c r="C425" s="6"/>
      <c r="D425" s="6"/>
      <c r="E425" s="6"/>
      <c r="F425" s="6"/>
      <c r="G425" s="83"/>
      <c r="H425" s="83"/>
      <c r="I425" s="83"/>
      <c r="J425" s="83"/>
      <c r="K425" s="83"/>
      <c r="L425" s="83"/>
      <c r="M425" s="6"/>
      <c r="N425" s="83"/>
      <c r="O425" s="83"/>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7"/>
    </row>
    <row r="426" ht="15.75" customHeight="1">
      <c r="A426" s="6"/>
      <c r="B426" s="6"/>
      <c r="C426" s="6"/>
      <c r="D426" s="6"/>
      <c r="E426" s="6"/>
      <c r="F426" s="6"/>
      <c r="G426" s="83"/>
      <c r="H426" s="83"/>
      <c r="I426" s="83"/>
      <c r="J426" s="83"/>
      <c r="K426" s="83"/>
      <c r="L426" s="83"/>
      <c r="M426" s="6"/>
      <c r="N426" s="83"/>
      <c r="O426" s="83"/>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7"/>
    </row>
    <row r="427" ht="15.75" customHeight="1">
      <c r="A427" s="6"/>
      <c r="B427" s="6"/>
      <c r="C427" s="6"/>
      <c r="D427" s="6"/>
      <c r="E427" s="6"/>
      <c r="F427" s="6"/>
      <c r="G427" s="83"/>
      <c r="H427" s="83"/>
      <c r="I427" s="83"/>
      <c r="J427" s="83"/>
      <c r="K427" s="83"/>
      <c r="L427" s="83"/>
      <c r="M427" s="6"/>
      <c r="N427" s="83"/>
      <c r="O427" s="83"/>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7"/>
    </row>
    <row r="428" ht="15.75" customHeight="1">
      <c r="A428" s="6"/>
      <c r="B428" s="6"/>
      <c r="C428" s="6"/>
      <c r="D428" s="6"/>
      <c r="E428" s="6"/>
      <c r="F428" s="6"/>
      <c r="G428" s="83"/>
      <c r="H428" s="83"/>
      <c r="I428" s="83"/>
      <c r="J428" s="83"/>
      <c r="K428" s="83"/>
      <c r="L428" s="83"/>
      <c r="M428" s="6"/>
      <c r="N428" s="83"/>
      <c r="O428" s="83"/>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7"/>
    </row>
    <row r="429" ht="15.75" customHeight="1">
      <c r="A429" s="6"/>
      <c r="B429" s="6"/>
      <c r="C429" s="6"/>
      <c r="D429" s="6"/>
      <c r="E429" s="6"/>
      <c r="F429" s="6"/>
      <c r="G429" s="83"/>
      <c r="H429" s="83"/>
      <c r="I429" s="83"/>
      <c r="J429" s="83"/>
      <c r="K429" s="83"/>
      <c r="L429" s="83"/>
      <c r="M429" s="6"/>
      <c r="N429" s="83"/>
      <c r="O429" s="83"/>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7"/>
    </row>
    <row r="430" ht="15.75" customHeight="1">
      <c r="A430" s="6"/>
      <c r="B430" s="6"/>
      <c r="C430" s="6"/>
      <c r="D430" s="6"/>
      <c r="E430" s="6"/>
      <c r="F430" s="6"/>
      <c r="G430" s="83"/>
      <c r="H430" s="83"/>
      <c r="I430" s="83"/>
      <c r="J430" s="83"/>
      <c r="K430" s="83"/>
      <c r="L430" s="83"/>
      <c r="M430" s="6"/>
      <c r="N430" s="83"/>
      <c r="O430" s="83"/>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7"/>
    </row>
    <row r="431" ht="15.75" customHeight="1">
      <c r="A431" s="6"/>
      <c r="B431" s="6"/>
      <c r="C431" s="6"/>
      <c r="D431" s="6"/>
      <c r="E431" s="6"/>
      <c r="F431" s="6"/>
      <c r="G431" s="83"/>
      <c r="H431" s="83"/>
      <c r="I431" s="83"/>
      <c r="J431" s="83"/>
      <c r="K431" s="83"/>
      <c r="L431" s="83"/>
      <c r="M431" s="6"/>
      <c r="N431" s="83"/>
      <c r="O431" s="83"/>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7"/>
    </row>
    <row r="432" ht="15.75" customHeight="1">
      <c r="A432" s="6"/>
      <c r="B432" s="6"/>
      <c r="C432" s="6"/>
      <c r="D432" s="6"/>
      <c r="E432" s="6"/>
      <c r="F432" s="6"/>
      <c r="G432" s="83"/>
      <c r="H432" s="83"/>
      <c r="I432" s="83"/>
      <c r="J432" s="83"/>
      <c r="K432" s="83"/>
      <c r="L432" s="83"/>
      <c r="M432" s="6"/>
      <c r="N432" s="83"/>
      <c r="O432" s="83"/>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7"/>
    </row>
    <row r="433" ht="15.75" customHeight="1">
      <c r="A433" s="6"/>
      <c r="B433" s="6"/>
      <c r="C433" s="6"/>
      <c r="D433" s="6"/>
      <c r="E433" s="6"/>
      <c r="F433" s="6"/>
      <c r="G433" s="83"/>
      <c r="H433" s="83"/>
      <c r="I433" s="83"/>
      <c r="J433" s="83"/>
      <c r="K433" s="83"/>
      <c r="L433" s="83"/>
      <c r="M433" s="6"/>
      <c r="N433" s="83"/>
      <c r="O433" s="83"/>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7"/>
    </row>
    <row r="434" ht="15.75" customHeight="1">
      <c r="A434" s="6"/>
      <c r="B434" s="6"/>
      <c r="C434" s="6"/>
      <c r="D434" s="6"/>
      <c r="E434" s="6"/>
      <c r="F434" s="6"/>
      <c r="G434" s="83"/>
      <c r="H434" s="83"/>
      <c r="I434" s="83"/>
      <c r="J434" s="83"/>
      <c r="K434" s="83"/>
      <c r="L434" s="83"/>
      <c r="M434" s="6"/>
      <c r="N434" s="83"/>
      <c r="O434" s="83"/>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7"/>
    </row>
    <row r="435" ht="15.75" customHeight="1">
      <c r="A435" s="6"/>
      <c r="B435" s="6"/>
      <c r="C435" s="6"/>
      <c r="D435" s="6"/>
      <c r="E435" s="6"/>
      <c r="F435" s="6"/>
      <c r="G435" s="83"/>
      <c r="H435" s="83"/>
      <c r="I435" s="83"/>
      <c r="J435" s="83"/>
      <c r="K435" s="83"/>
      <c r="L435" s="83"/>
      <c r="M435" s="6"/>
      <c r="N435" s="83"/>
      <c r="O435" s="83"/>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7"/>
    </row>
    <row r="436" ht="15.75" customHeight="1">
      <c r="A436" s="6"/>
      <c r="B436" s="6"/>
      <c r="C436" s="6"/>
      <c r="D436" s="6"/>
      <c r="E436" s="6"/>
      <c r="F436" s="6"/>
      <c r="G436" s="83"/>
      <c r="H436" s="83"/>
      <c r="I436" s="83"/>
      <c r="J436" s="83"/>
      <c r="K436" s="83"/>
      <c r="L436" s="83"/>
      <c r="M436" s="6"/>
      <c r="N436" s="83"/>
      <c r="O436" s="83"/>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7"/>
    </row>
    <row r="437" ht="15.75" customHeight="1">
      <c r="A437" s="6"/>
      <c r="B437" s="6"/>
      <c r="C437" s="6"/>
      <c r="D437" s="6"/>
      <c r="E437" s="6"/>
      <c r="F437" s="6"/>
      <c r="G437" s="83"/>
      <c r="H437" s="83"/>
      <c r="I437" s="83"/>
      <c r="J437" s="83"/>
      <c r="K437" s="83"/>
      <c r="L437" s="83"/>
      <c r="M437" s="6"/>
      <c r="N437" s="83"/>
      <c r="O437" s="83"/>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7"/>
    </row>
    <row r="438" ht="15.75" customHeight="1">
      <c r="A438" s="6"/>
      <c r="B438" s="6"/>
      <c r="C438" s="6"/>
      <c r="D438" s="6"/>
      <c r="E438" s="6"/>
      <c r="F438" s="6"/>
      <c r="G438" s="83"/>
      <c r="H438" s="83"/>
      <c r="I438" s="83"/>
      <c r="J438" s="83"/>
      <c r="K438" s="83"/>
      <c r="L438" s="83"/>
      <c r="M438" s="6"/>
      <c r="N438" s="83"/>
      <c r="O438" s="83"/>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7"/>
    </row>
    <row r="439" ht="15.75" customHeight="1">
      <c r="A439" s="6"/>
      <c r="B439" s="6"/>
      <c r="C439" s="6"/>
      <c r="D439" s="6"/>
      <c r="E439" s="6"/>
      <c r="F439" s="6"/>
      <c r="G439" s="83"/>
      <c r="H439" s="83"/>
      <c r="I439" s="83"/>
      <c r="J439" s="83"/>
      <c r="K439" s="83"/>
      <c r="L439" s="83"/>
      <c r="M439" s="6"/>
      <c r="N439" s="83"/>
      <c r="O439" s="83"/>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7"/>
    </row>
    <row r="440" ht="15.75" customHeight="1">
      <c r="A440" s="6"/>
      <c r="B440" s="6"/>
      <c r="C440" s="6"/>
      <c r="D440" s="6"/>
      <c r="E440" s="6"/>
      <c r="F440" s="6"/>
      <c r="G440" s="83"/>
      <c r="H440" s="83"/>
      <c r="I440" s="83"/>
      <c r="J440" s="83"/>
      <c r="K440" s="83"/>
      <c r="L440" s="83"/>
      <c r="M440" s="6"/>
      <c r="N440" s="83"/>
      <c r="O440" s="83"/>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7"/>
    </row>
    <row r="441" ht="15.75" customHeight="1">
      <c r="A441" s="6"/>
      <c r="B441" s="6"/>
      <c r="C441" s="6"/>
      <c r="D441" s="6"/>
      <c r="E441" s="6"/>
      <c r="F441" s="6"/>
      <c r="G441" s="83"/>
      <c r="H441" s="83"/>
      <c r="I441" s="83"/>
      <c r="J441" s="83"/>
      <c r="K441" s="83"/>
      <c r="L441" s="83"/>
      <c r="M441" s="6"/>
      <c r="N441" s="83"/>
      <c r="O441" s="83"/>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7"/>
    </row>
    <row r="442" ht="15.75" customHeight="1">
      <c r="A442" s="6"/>
      <c r="B442" s="6"/>
      <c r="C442" s="6"/>
      <c r="D442" s="6"/>
      <c r="E442" s="6"/>
      <c r="F442" s="6"/>
      <c r="G442" s="83"/>
      <c r="H442" s="83"/>
      <c r="I442" s="83"/>
      <c r="J442" s="83"/>
      <c r="K442" s="83"/>
      <c r="L442" s="83"/>
      <c r="M442" s="6"/>
      <c r="N442" s="83"/>
      <c r="O442" s="83"/>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7"/>
    </row>
    <row r="443" ht="15.75" customHeight="1">
      <c r="A443" s="6"/>
      <c r="B443" s="6"/>
      <c r="C443" s="6"/>
      <c r="D443" s="6"/>
      <c r="E443" s="6"/>
      <c r="F443" s="6"/>
      <c r="G443" s="83"/>
      <c r="H443" s="83"/>
      <c r="I443" s="83"/>
      <c r="J443" s="83"/>
      <c r="K443" s="83"/>
      <c r="L443" s="83"/>
      <c r="M443" s="6"/>
      <c r="N443" s="83"/>
      <c r="O443" s="83"/>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7"/>
    </row>
    <row r="444" ht="15.75" customHeight="1">
      <c r="A444" s="6"/>
      <c r="B444" s="6"/>
      <c r="C444" s="6"/>
      <c r="D444" s="6"/>
      <c r="E444" s="6"/>
      <c r="F444" s="6"/>
      <c r="G444" s="83"/>
      <c r="H444" s="83"/>
      <c r="I444" s="83"/>
      <c r="J444" s="83"/>
      <c r="K444" s="83"/>
      <c r="L444" s="83"/>
      <c r="M444" s="6"/>
      <c r="N444" s="83"/>
      <c r="O444" s="83"/>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7"/>
    </row>
    <row r="445" ht="15.75" customHeight="1">
      <c r="A445" s="6"/>
      <c r="B445" s="6"/>
      <c r="C445" s="6"/>
      <c r="D445" s="6"/>
      <c r="E445" s="6"/>
      <c r="F445" s="6"/>
      <c r="G445" s="83"/>
      <c r="H445" s="83"/>
      <c r="I445" s="83"/>
      <c r="J445" s="83"/>
      <c r="K445" s="83"/>
      <c r="L445" s="83"/>
      <c r="M445" s="6"/>
      <c r="N445" s="83"/>
      <c r="O445" s="83"/>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7"/>
    </row>
    <row r="446" ht="15.75" customHeight="1">
      <c r="A446" s="6"/>
      <c r="B446" s="6"/>
      <c r="C446" s="6"/>
      <c r="D446" s="6"/>
      <c r="E446" s="6"/>
      <c r="F446" s="6"/>
      <c r="G446" s="83"/>
      <c r="H446" s="83"/>
      <c r="I446" s="83"/>
      <c r="J446" s="83"/>
      <c r="K446" s="83"/>
      <c r="L446" s="83"/>
      <c r="M446" s="6"/>
      <c r="N446" s="83"/>
      <c r="O446" s="83"/>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7"/>
    </row>
    <row r="447" ht="15.75" customHeight="1">
      <c r="A447" s="6"/>
      <c r="B447" s="6"/>
      <c r="C447" s="6"/>
      <c r="D447" s="6"/>
      <c r="E447" s="6"/>
      <c r="F447" s="6"/>
      <c r="G447" s="83"/>
      <c r="H447" s="83"/>
      <c r="I447" s="83"/>
      <c r="J447" s="83"/>
      <c r="K447" s="83"/>
      <c r="L447" s="83"/>
      <c r="M447" s="6"/>
      <c r="N447" s="83"/>
      <c r="O447" s="83"/>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7"/>
    </row>
    <row r="448" ht="15.75" customHeight="1">
      <c r="A448" s="6"/>
      <c r="B448" s="6"/>
      <c r="C448" s="6"/>
      <c r="D448" s="6"/>
      <c r="E448" s="6"/>
      <c r="F448" s="6"/>
      <c r="G448" s="83"/>
      <c r="H448" s="83"/>
      <c r="I448" s="83"/>
      <c r="J448" s="83"/>
      <c r="K448" s="83"/>
      <c r="L448" s="83"/>
      <c r="M448" s="6"/>
      <c r="N448" s="83"/>
      <c r="O448" s="83"/>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7"/>
    </row>
    <row r="449" ht="15.75" customHeight="1">
      <c r="A449" s="6"/>
      <c r="B449" s="6"/>
      <c r="C449" s="6"/>
      <c r="D449" s="6"/>
      <c r="E449" s="6"/>
      <c r="F449" s="6"/>
      <c r="G449" s="83"/>
      <c r="H449" s="83"/>
      <c r="I449" s="83"/>
      <c r="J449" s="83"/>
      <c r="K449" s="83"/>
      <c r="L449" s="83"/>
      <c r="M449" s="6"/>
      <c r="N449" s="83"/>
      <c r="O449" s="83"/>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7"/>
    </row>
    <row r="450" ht="15.75" customHeight="1">
      <c r="A450" s="6"/>
      <c r="B450" s="6"/>
      <c r="C450" s="6"/>
      <c r="D450" s="6"/>
      <c r="E450" s="6"/>
      <c r="F450" s="6"/>
      <c r="G450" s="83"/>
      <c r="H450" s="83"/>
      <c r="I450" s="83"/>
      <c r="J450" s="83"/>
      <c r="K450" s="83"/>
      <c r="L450" s="83"/>
      <c r="M450" s="6"/>
      <c r="N450" s="83"/>
      <c r="O450" s="83"/>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7"/>
    </row>
    <row r="451" ht="15.75" customHeight="1">
      <c r="A451" s="6"/>
      <c r="B451" s="6"/>
      <c r="C451" s="6"/>
      <c r="D451" s="6"/>
      <c r="E451" s="6"/>
      <c r="F451" s="6"/>
      <c r="G451" s="83"/>
      <c r="H451" s="83"/>
      <c r="I451" s="83"/>
      <c r="J451" s="83"/>
      <c r="K451" s="83"/>
      <c r="L451" s="83"/>
      <c r="M451" s="6"/>
      <c r="N451" s="83"/>
      <c r="O451" s="83"/>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7"/>
    </row>
    <row r="452" ht="15.75" customHeight="1">
      <c r="A452" s="6"/>
      <c r="B452" s="6"/>
      <c r="C452" s="6"/>
      <c r="D452" s="6"/>
      <c r="E452" s="6"/>
      <c r="F452" s="6"/>
      <c r="G452" s="83"/>
      <c r="H452" s="83"/>
      <c r="I452" s="83"/>
      <c r="J452" s="83"/>
      <c r="K452" s="83"/>
      <c r="L452" s="83"/>
      <c r="M452" s="6"/>
      <c r="N452" s="83"/>
      <c r="O452" s="83"/>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7"/>
    </row>
    <row r="453" ht="15.75" customHeight="1">
      <c r="A453" s="6"/>
      <c r="B453" s="6"/>
      <c r="C453" s="6"/>
      <c r="D453" s="6"/>
      <c r="E453" s="6"/>
      <c r="F453" s="6"/>
      <c r="G453" s="83"/>
      <c r="H453" s="83"/>
      <c r="I453" s="83"/>
      <c r="J453" s="83"/>
      <c r="K453" s="83"/>
      <c r="L453" s="83"/>
      <c r="M453" s="6"/>
      <c r="N453" s="83"/>
      <c r="O453" s="83"/>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7"/>
    </row>
    <row r="454" ht="15.75" customHeight="1">
      <c r="A454" s="6"/>
      <c r="B454" s="6"/>
      <c r="C454" s="6"/>
      <c r="D454" s="6"/>
      <c r="E454" s="6"/>
      <c r="F454" s="6"/>
      <c r="G454" s="83"/>
      <c r="H454" s="83"/>
      <c r="I454" s="83"/>
      <c r="J454" s="83"/>
      <c r="K454" s="83"/>
      <c r="L454" s="83"/>
      <c r="M454" s="6"/>
      <c r="N454" s="83"/>
      <c r="O454" s="83"/>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7"/>
    </row>
    <row r="455" ht="15.75" customHeight="1">
      <c r="A455" s="6"/>
      <c r="B455" s="6"/>
      <c r="C455" s="6"/>
      <c r="D455" s="6"/>
      <c r="E455" s="6"/>
      <c r="F455" s="6"/>
      <c r="G455" s="83"/>
      <c r="H455" s="83"/>
      <c r="I455" s="83"/>
      <c r="J455" s="83"/>
      <c r="K455" s="83"/>
      <c r="L455" s="83"/>
      <c r="M455" s="6"/>
      <c r="N455" s="83"/>
      <c r="O455" s="83"/>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7"/>
    </row>
    <row r="456" ht="15.75" customHeight="1">
      <c r="A456" s="6"/>
      <c r="B456" s="6"/>
      <c r="C456" s="6"/>
      <c r="D456" s="6"/>
      <c r="E456" s="6"/>
      <c r="F456" s="6"/>
      <c r="G456" s="83"/>
      <c r="H456" s="83"/>
      <c r="I456" s="83"/>
      <c r="J456" s="83"/>
      <c r="K456" s="83"/>
      <c r="L456" s="83"/>
      <c r="M456" s="6"/>
      <c r="N456" s="83"/>
      <c r="O456" s="83"/>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7"/>
    </row>
    <row r="457" ht="15.75" customHeight="1">
      <c r="A457" s="6"/>
      <c r="B457" s="6"/>
      <c r="C457" s="6"/>
      <c r="D457" s="6"/>
      <c r="E457" s="6"/>
      <c r="F457" s="6"/>
      <c r="G457" s="83"/>
      <c r="H457" s="83"/>
      <c r="I457" s="83"/>
      <c r="J457" s="83"/>
      <c r="K457" s="83"/>
      <c r="L457" s="83"/>
      <c r="M457" s="6"/>
      <c r="N457" s="83"/>
      <c r="O457" s="83"/>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7"/>
    </row>
    <row r="458" ht="15.75" customHeight="1">
      <c r="A458" s="6"/>
      <c r="B458" s="6"/>
      <c r="C458" s="6"/>
      <c r="D458" s="6"/>
      <c r="E458" s="6"/>
      <c r="F458" s="6"/>
      <c r="G458" s="83"/>
      <c r="H458" s="83"/>
      <c r="I458" s="83"/>
      <c r="J458" s="83"/>
      <c r="K458" s="83"/>
      <c r="L458" s="83"/>
      <c r="M458" s="6"/>
      <c r="N458" s="83"/>
      <c r="O458" s="83"/>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7"/>
    </row>
    <row r="459" ht="15.75" customHeight="1">
      <c r="A459" s="6"/>
      <c r="B459" s="6"/>
      <c r="C459" s="6"/>
      <c r="D459" s="6"/>
      <c r="E459" s="6"/>
      <c r="F459" s="6"/>
      <c r="G459" s="83"/>
      <c r="H459" s="83"/>
      <c r="I459" s="83"/>
      <c r="J459" s="83"/>
      <c r="K459" s="83"/>
      <c r="L459" s="83"/>
      <c r="M459" s="6"/>
      <c r="N459" s="83"/>
      <c r="O459" s="83"/>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7"/>
    </row>
    <row r="460" ht="15.75" customHeight="1">
      <c r="A460" s="6"/>
      <c r="B460" s="6"/>
      <c r="C460" s="6"/>
      <c r="D460" s="6"/>
      <c r="E460" s="6"/>
      <c r="F460" s="6"/>
      <c r="G460" s="83"/>
      <c r="H460" s="83"/>
      <c r="I460" s="83"/>
      <c r="J460" s="83"/>
      <c r="K460" s="83"/>
      <c r="L460" s="83"/>
      <c r="M460" s="6"/>
      <c r="N460" s="83"/>
      <c r="O460" s="83"/>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7"/>
    </row>
    <row r="461" ht="15.75" customHeight="1">
      <c r="A461" s="6"/>
      <c r="B461" s="6"/>
      <c r="C461" s="6"/>
      <c r="D461" s="6"/>
      <c r="E461" s="6"/>
      <c r="F461" s="6"/>
      <c r="G461" s="83"/>
      <c r="H461" s="83"/>
      <c r="I461" s="83"/>
      <c r="J461" s="83"/>
      <c r="K461" s="83"/>
      <c r="L461" s="83"/>
      <c r="M461" s="6"/>
      <c r="N461" s="83"/>
      <c r="O461" s="83"/>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7"/>
    </row>
    <row r="462" ht="15.75" customHeight="1">
      <c r="A462" s="6"/>
      <c r="B462" s="6"/>
      <c r="C462" s="6"/>
      <c r="D462" s="6"/>
      <c r="E462" s="6"/>
      <c r="F462" s="6"/>
      <c r="G462" s="83"/>
      <c r="H462" s="83"/>
      <c r="I462" s="83"/>
      <c r="J462" s="83"/>
      <c r="K462" s="83"/>
      <c r="L462" s="83"/>
      <c r="M462" s="6"/>
      <c r="N462" s="83"/>
      <c r="O462" s="83"/>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7"/>
    </row>
    <row r="463" ht="15.75" customHeight="1">
      <c r="A463" s="6"/>
      <c r="B463" s="6"/>
      <c r="C463" s="6"/>
      <c r="D463" s="6"/>
      <c r="E463" s="6"/>
      <c r="F463" s="6"/>
      <c r="G463" s="83"/>
      <c r="H463" s="83"/>
      <c r="I463" s="83"/>
      <c r="J463" s="83"/>
      <c r="K463" s="83"/>
      <c r="L463" s="83"/>
      <c r="M463" s="6"/>
      <c r="N463" s="83"/>
      <c r="O463" s="83"/>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7"/>
    </row>
    <row r="464" ht="15.75" customHeight="1">
      <c r="A464" s="6"/>
      <c r="B464" s="6"/>
      <c r="C464" s="6"/>
      <c r="D464" s="6"/>
      <c r="E464" s="6"/>
      <c r="F464" s="6"/>
      <c r="G464" s="83"/>
      <c r="H464" s="83"/>
      <c r="I464" s="83"/>
      <c r="J464" s="83"/>
      <c r="K464" s="83"/>
      <c r="L464" s="83"/>
      <c r="M464" s="6"/>
      <c r="N464" s="83"/>
      <c r="O464" s="83"/>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7"/>
    </row>
    <row r="465" ht="15.75" customHeight="1">
      <c r="A465" s="6"/>
      <c r="B465" s="6"/>
      <c r="C465" s="6"/>
      <c r="D465" s="6"/>
      <c r="E465" s="6"/>
      <c r="F465" s="6"/>
      <c r="G465" s="83"/>
      <c r="H465" s="83"/>
      <c r="I465" s="83"/>
      <c r="J465" s="83"/>
      <c r="K465" s="83"/>
      <c r="L465" s="83"/>
      <c r="M465" s="6"/>
      <c r="N465" s="83"/>
      <c r="O465" s="83"/>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7"/>
    </row>
    <row r="466" ht="15.75" customHeight="1">
      <c r="A466" s="6"/>
      <c r="B466" s="6"/>
      <c r="C466" s="6"/>
      <c r="D466" s="6"/>
      <c r="E466" s="6"/>
      <c r="F466" s="6"/>
      <c r="G466" s="83"/>
      <c r="H466" s="83"/>
      <c r="I466" s="83"/>
      <c r="J466" s="83"/>
      <c r="K466" s="83"/>
      <c r="L466" s="83"/>
      <c r="M466" s="6"/>
      <c r="N466" s="83"/>
      <c r="O466" s="83"/>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7"/>
    </row>
    <row r="467" ht="15.75" customHeight="1">
      <c r="A467" s="6"/>
      <c r="B467" s="6"/>
      <c r="C467" s="6"/>
      <c r="D467" s="6"/>
      <c r="E467" s="6"/>
      <c r="F467" s="6"/>
      <c r="G467" s="83"/>
      <c r="H467" s="83"/>
      <c r="I467" s="83"/>
      <c r="J467" s="83"/>
      <c r="K467" s="83"/>
      <c r="L467" s="83"/>
      <c r="M467" s="6"/>
      <c r="N467" s="83"/>
      <c r="O467" s="83"/>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7"/>
    </row>
    <row r="468" ht="15.75" customHeight="1">
      <c r="A468" s="6"/>
      <c r="B468" s="6"/>
      <c r="C468" s="6"/>
      <c r="D468" s="6"/>
      <c r="E468" s="6"/>
      <c r="F468" s="6"/>
      <c r="G468" s="83"/>
      <c r="H468" s="83"/>
      <c r="I468" s="83"/>
      <c r="J468" s="83"/>
      <c r="K468" s="83"/>
      <c r="L468" s="83"/>
      <c r="M468" s="6"/>
      <c r="N468" s="83"/>
      <c r="O468" s="83"/>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7"/>
    </row>
    <row r="469" ht="15.75" customHeight="1">
      <c r="A469" s="6"/>
      <c r="B469" s="6"/>
      <c r="C469" s="6"/>
      <c r="D469" s="6"/>
      <c r="E469" s="6"/>
      <c r="F469" s="6"/>
      <c r="G469" s="83"/>
      <c r="H469" s="83"/>
      <c r="I469" s="83"/>
      <c r="J469" s="83"/>
      <c r="K469" s="83"/>
      <c r="L469" s="83"/>
      <c r="M469" s="6"/>
      <c r="N469" s="83"/>
      <c r="O469" s="83"/>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7"/>
    </row>
    <row r="470" ht="15.75" customHeight="1">
      <c r="A470" s="6"/>
      <c r="B470" s="6"/>
      <c r="C470" s="6"/>
      <c r="D470" s="6"/>
      <c r="E470" s="6"/>
      <c r="F470" s="6"/>
      <c r="G470" s="83"/>
      <c r="H470" s="83"/>
      <c r="I470" s="83"/>
      <c r="J470" s="83"/>
      <c r="K470" s="83"/>
      <c r="L470" s="83"/>
      <c r="M470" s="6"/>
      <c r="N470" s="83"/>
      <c r="O470" s="83"/>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7"/>
    </row>
    <row r="471" ht="15.75" customHeight="1">
      <c r="A471" s="6"/>
      <c r="B471" s="6"/>
      <c r="C471" s="6"/>
      <c r="D471" s="6"/>
      <c r="E471" s="6"/>
      <c r="F471" s="6"/>
      <c r="G471" s="83"/>
      <c r="H471" s="83"/>
      <c r="I471" s="83"/>
      <c r="J471" s="83"/>
      <c r="K471" s="83"/>
      <c r="L471" s="83"/>
      <c r="M471" s="6"/>
      <c r="N471" s="83"/>
      <c r="O471" s="83"/>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7"/>
    </row>
    <row r="472" ht="15.75" customHeight="1">
      <c r="A472" s="6"/>
      <c r="B472" s="6"/>
      <c r="C472" s="6"/>
      <c r="D472" s="6"/>
      <c r="E472" s="6"/>
      <c r="F472" s="6"/>
      <c r="G472" s="83"/>
      <c r="H472" s="83"/>
      <c r="I472" s="83"/>
      <c r="J472" s="83"/>
      <c r="K472" s="83"/>
      <c r="L472" s="83"/>
      <c r="M472" s="6"/>
      <c r="N472" s="83"/>
      <c r="O472" s="83"/>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7"/>
    </row>
    <row r="473" ht="15.75" customHeight="1">
      <c r="A473" s="6"/>
      <c r="B473" s="6"/>
      <c r="C473" s="6"/>
      <c r="D473" s="6"/>
      <c r="E473" s="6"/>
      <c r="F473" s="6"/>
      <c r="G473" s="83"/>
      <c r="H473" s="83"/>
      <c r="I473" s="83"/>
      <c r="J473" s="83"/>
      <c r="K473" s="83"/>
      <c r="L473" s="83"/>
      <c r="M473" s="6"/>
      <c r="N473" s="83"/>
      <c r="O473" s="83"/>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7"/>
    </row>
    <row r="474" ht="15.75" customHeight="1">
      <c r="A474" s="6"/>
      <c r="B474" s="6"/>
      <c r="C474" s="6"/>
      <c r="D474" s="6"/>
      <c r="E474" s="6"/>
      <c r="F474" s="6"/>
      <c r="G474" s="83"/>
      <c r="H474" s="83"/>
      <c r="I474" s="83"/>
      <c r="J474" s="83"/>
      <c r="K474" s="83"/>
      <c r="L474" s="83"/>
      <c r="M474" s="6"/>
      <c r="N474" s="83"/>
      <c r="O474" s="83"/>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7"/>
    </row>
    <row r="475" ht="15.75" customHeight="1">
      <c r="A475" s="6"/>
      <c r="B475" s="6"/>
      <c r="C475" s="6"/>
      <c r="D475" s="6"/>
      <c r="E475" s="6"/>
      <c r="F475" s="6"/>
      <c r="G475" s="83"/>
      <c r="H475" s="83"/>
      <c r="I475" s="83"/>
      <c r="J475" s="83"/>
      <c r="K475" s="83"/>
      <c r="L475" s="83"/>
      <c r="M475" s="6"/>
      <c r="N475" s="83"/>
      <c r="O475" s="83"/>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7"/>
    </row>
    <row r="476" ht="15.75" customHeight="1">
      <c r="A476" s="6"/>
      <c r="B476" s="6"/>
      <c r="C476" s="6"/>
      <c r="D476" s="6"/>
      <c r="E476" s="6"/>
      <c r="F476" s="6"/>
      <c r="G476" s="83"/>
      <c r="H476" s="83"/>
      <c r="I476" s="83"/>
      <c r="J476" s="83"/>
      <c r="K476" s="83"/>
      <c r="L476" s="83"/>
      <c r="M476" s="6"/>
      <c r="N476" s="83"/>
      <c r="O476" s="83"/>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7"/>
    </row>
    <row r="477" ht="15.75" customHeight="1">
      <c r="A477" s="6"/>
      <c r="B477" s="6"/>
      <c r="C477" s="6"/>
      <c r="D477" s="6"/>
      <c r="E477" s="6"/>
      <c r="F477" s="6"/>
      <c r="G477" s="83"/>
      <c r="H477" s="83"/>
      <c r="I477" s="83"/>
      <c r="J477" s="83"/>
      <c r="K477" s="83"/>
      <c r="L477" s="83"/>
      <c r="M477" s="6"/>
      <c r="N477" s="83"/>
      <c r="O477" s="83"/>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7"/>
    </row>
    <row r="478" ht="15.75" customHeight="1">
      <c r="A478" s="6"/>
      <c r="B478" s="6"/>
      <c r="C478" s="6"/>
      <c r="D478" s="6"/>
      <c r="E478" s="6"/>
      <c r="F478" s="6"/>
      <c r="G478" s="83"/>
      <c r="H478" s="83"/>
      <c r="I478" s="83"/>
      <c r="J478" s="83"/>
      <c r="K478" s="83"/>
      <c r="L478" s="83"/>
      <c r="M478" s="6"/>
      <c r="N478" s="83"/>
      <c r="O478" s="83"/>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7"/>
    </row>
    <row r="479" ht="15.75" customHeight="1">
      <c r="A479" s="6"/>
      <c r="B479" s="6"/>
      <c r="C479" s="6"/>
      <c r="D479" s="6"/>
      <c r="E479" s="6"/>
      <c r="F479" s="6"/>
      <c r="G479" s="83"/>
      <c r="H479" s="83"/>
      <c r="I479" s="83"/>
      <c r="J479" s="83"/>
      <c r="K479" s="83"/>
      <c r="L479" s="83"/>
      <c r="M479" s="6"/>
      <c r="N479" s="83"/>
      <c r="O479" s="83"/>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7"/>
    </row>
    <row r="480" ht="15.75" customHeight="1">
      <c r="A480" s="6"/>
      <c r="B480" s="6"/>
      <c r="C480" s="6"/>
      <c r="D480" s="6"/>
      <c r="E480" s="6"/>
      <c r="F480" s="6"/>
      <c r="G480" s="83"/>
      <c r="H480" s="83"/>
      <c r="I480" s="83"/>
      <c r="J480" s="83"/>
      <c r="K480" s="83"/>
      <c r="L480" s="83"/>
      <c r="M480" s="6"/>
      <c r="N480" s="83"/>
      <c r="O480" s="83"/>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7"/>
    </row>
    <row r="481" ht="15.75" customHeight="1">
      <c r="A481" s="6"/>
      <c r="B481" s="6"/>
      <c r="C481" s="6"/>
      <c r="D481" s="6"/>
      <c r="E481" s="6"/>
      <c r="F481" s="6"/>
      <c r="G481" s="83"/>
      <c r="H481" s="83"/>
      <c r="I481" s="83"/>
      <c r="J481" s="83"/>
      <c r="K481" s="83"/>
      <c r="L481" s="83"/>
      <c r="M481" s="6"/>
      <c r="N481" s="83"/>
      <c r="O481" s="83"/>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7"/>
    </row>
    <row r="482" ht="15.75" customHeight="1">
      <c r="A482" s="6"/>
      <c r="B482" s="6"/>
      <c r="C482" s="6"/>
      <c r="D482" s="6"/>
      <c r="E482" s="6"/>
      <c r="F482" s="6"/>
      <c r="G482" s="83"/>
      <c r="H482" s="83"/>
      <c r="I482" s="83"/>
      <c r="J482" s="83"/>
      <c r="K482" s="83"/>
      <c r="L482" s="83"/>
      <c r="M482" s="6"/>
      <c r="N482" s="83"/>
      <c r="O482" s="83"/>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7"/>
    </row>
    <row r="483" ht="15.75" customHeight="1">
      <c r="A483" s="6"/>
      <c r="B483" s="6"/>
      <c r="C483" s="6"/>
      <c r="D483" s="6"/>
      <c r="E483" s="6"/>
      <c r="F483" s="6"/>
      <c r="G483" s="83"/>
      <c r="H483" s="83"/>
      <c r="I483" s="83"/>
      <c r="J483" s="83"/>
      <c r="K483" s="83"/>
      <c r="L483" s="83"/>
      <c r="M483" s="6"/>
      <c r="N483" s="83"/>
      <c r="O483" s="83"/>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7"/>
    </row>
    <row r="484" ht="15.75" customHeight="1">
      <c r="A484" s="6"/>
      <c r="B484" s="6"/>
      <c r="C484" s="6"/>
      <c r="D484" s="6"/>
      <c r="E484" s="6"/>
      <c r="F484" s="6"/>
      <c r="G484" s="83"/>
      <c r="H484" s="83"/>
      <c r="I484" s="83"/>
      <c r="J484" s="83"/>
      <c r="K484" s="83"/>
      <c r="L484" s="83"/>
      <c r="M484" s="6"/>
      <c r="N484" s="83"/>
      <c r="O484" s="83"/>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7"/>
    </row>
    <row r="485" ht="15.75" customHeight="1">
      <c r="A485" s="6"/>
      <c r="B485" s="6"/>
      <c r="C485" s="6"/>
      <c r="D485" s="6"/>
      <c r="E485" s="6"/>
      <c r="F485" s="6"/>
      <c r="G485" s="83"/>
      <c r="H485" s="83"/>
      <c r="I485" s="83"/>
      <c r="J485" s="83"/>
      <c r="K485" s="83"/>
      <c r="L485" s="83"/>
      <c r="M485" s="6"/>
      <c r="N485" s="83"/>
      <c r="O485" s="83"/>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7"/>
    </row>
    <row r="486" ht="15.75" customHeight="1">
      <c r="A486" s="6"/>
      <c r="B486" s="6"/>
      <c r="C486" s="6"/>
      <c r="D486" s="6"/>
      <c r="E486" s="6"/>
      <c r="F486" s="6"/>
      <c r="G486" s="83"/>
      <c r="H486" s="83"/>
      <c r="I486" s="83"/>
      <c r="J486" s="83"/>
      <c r="K486" s="83"/>
      <c r="L486" s="83"/>
      <c r="M486" s="6"/>
      <c r="N486" s="83"/>
      <c r="O486" s="83"/>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7"/>
    </row>
    <row r="487" ht="15.75" customHeight="1">
      <c r="A487" s="6"/>
      <c r="B487" s="6"/>
      <c r="C487" s="6"/>
      <c r="D487" s="6"/>
      <c r="E487" s="6"/>
      <c r="F487" s="6"/>
      <c r="G487" s="83"/>
      <c r="H487" s="83"/>
      <c r="I487" s="83"/>
      <c r="J487" s="83"/>
      <c r="K487" s="83"/>
      <c r="L487" s="83"/>
      <c r="M487" s="6"/>
      <c r="N487" s="83"/>
      <c r="O487" s="83"/>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7"/>
    </row>
    <row r="488" ht="15.75" customHeight="1">
      <c r="A488" s="6"/>
      <c r="B488" s="6"/>
      <c r="C488" s="6"/>
      <c r="D488" s="6"/>
      <c r="E488" s="6"/>
      <c r="F488" s="6"/>
      <c r="G488" s="83"/>
      <c r="H488" s="83"/>
      <c r="I488" s="83"/>
      <c r="J488" s="83"/>
      <c r="K488" s="83"/>
      <c r="L488" s="83"/>
      <c r="M488" s="6"/>
      <c r="N488" s="83"/>
      <c r="O488" s="83"/>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7"/>
    </row>
    <row r="489" ht="15.75" customHeight="1">
      <c r="A489" s="6"/>
      <c r="B489" s="6"/>
      <c r="C489" s="6"/>
      <c r="D489" s="6"/>
      <c r="E489" s="6"/>
      <c r="F489" s="6"/>
      <c r="G489" s="83"/>
      <c r="H489" s="83"/>
      <c r="I489" s="83"/>
      <c r="J489" s="83"/>
      <c r="K489" s="83"/>
      <c r="L489" s="83"/>
      <c r="M489" s="6"/>
      <c r="N489" s="83"/>
      <c r="O489" s="83"/>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7"/>
    </row>
    <row r="490" ht="15.75" customHeight="1">
      <c r="A490" s="6"/>
      <c r="B490" s="6"/>
      <c r="C490" s="6"/>
      <c r="D490" s="6"/>
      <c r="E490" s="6"/>
      <c r="F490" s="6"/>
      <c r="G490" s="83"/>
      <c r="H490" s="83"/>
      <c r="I490" s="83"/>
      <c r="J490" s="83"/>
      <c r="K490" s="83"/>
      <c r="L490" s="83"/>
      <c r="M490" s="6"/>
      <c r="N490" s="83"/>
      <c r="O490" s="83"/>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7"/>
    </row>
    <row r="491" ht="15.75" customHeight="1">
      <c r="A491" s="6"/>
      <c r="B491" s="6"/>
      <c r="C491" s="6"/>
      <c r="D491" s="6"/>
      <c r="E491" s="6"/>
      <c r="F491" s="6"/>
      <c r="G491" s="83"/>
      <c r="H491" s="83"/>
      <c r="I491" s="83"/>
      <c r="J491" s="83"/>
      <c r="K491" s="83"/>
      <c r="L491" s="83"/>
      <c r="M491" s="6"/>
      <c r="N491" s="83"/>
      <c r="O491" s="83"/>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7"/>
    </row>
    <row r="492" ht="15.75" customHeight="1">
      <c r="A492" s="6"/>
      <c r="B492" s="6"/>
      <c r="C492" s="6"/>
      <c r="D492" s="6"/>
      <c r="E492" s="6"/>
      <c r="F492" s="6"/>
      <c r="G492" s="83"/>
      <c r="H492" s="83"/>
      <c r="I492" s="83"/>
      <c r="J492" s="83"/>
      <c r="K492" s="83"/>
      <c r="L492" s="83"/>
      <c r="M492" s="6"/>
      <c r="N492" s="83"/>
      <c r="O492" s="83"/>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7"/>
    </row>
    <row r="493" ht="15.75" customHeight="1">
      <c r="A493" s="6"/>
      <c r="B493" s="6"/>
      <c r="C493" s="6"/>
      <c r="D493" s="6"/>
      <c r="E493" s="6"/>
      <c r="F493" s="6"/>
      <c r="G493" s="83"/>
      <c r="H493" s="83"/>
      <c r="I493" s="83"/>
      <c r="J493" s="83"/>
      <c r="K493" s="83"/>
      <c r="L493" s="83"/>
      <c r="M493" s="6"/>
      <c r="N493" s="83"/>
      <c r="O493" s="83"/>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7"/>
    </row>
    <row r="494" ht="15.75" customHeight="1">
      <c r="A494" s="6"/>
      <c r="B494" s="6"/>
      <c r="C494" s="6"/>
      <c r="D494" s="6"/>
      <c r="E494" s="6"/>
      <c r="F494" s="6"/>
      <c r="G494" s="83"/>
      <c r="H494" s="83"/>
      <c r="I494" s="83"/>
      <c r="J494" s="83"/>
      <c r="K494" s="83"/>
      <c r="L494" s="83"/>
      <c r="M494" s="6"/>
      <c r="N494" s="83"/>
      <c r="O494" s="83"/>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7"/>
    </row>
    <row r="495" ht="15.75" customHeight="1">
      <c r="A495" s="6"/>
      <c r="B495" s="6"/>
      <c r="C495" s="6"/>
      <c r="D495" s="6"/>
      <c r="E495" s="6"/>
      <c r="F495" s="6"/>
      <c r="G495" s="83"/>
      <c r="H495" s="83"/>
      <c r="I495" s="83"/>
      <c r="J495" s="83"/>
      <c r="K495" s="83"/>
      <c r="L495" s="83"/>
      <c r="M495" s="6"/>
      <c r="N495" s="83"/>
      <c r="O495" s="83"/>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7"/>
    </row>
    <row r="496" ht="15.75" customHeight="1">
      <c r="A496" s="6"/>
      <c r="B496" s="6"/>
      <c r="C496" s="6"/>
      <c r="D496" s="6"/>
      <c r="E496" s="6"/>
      <c r="F496" s="6"/>
      <c r="G496" s="83"/>
      <c r="H496" s="83"/>
      <c r="I496" s="83"/>
      <c r="J496" s="83"/>
      <c r="K496" s="83"/>
      <c r="L496" s="83"/>
      <c r="M496" s="6"/>
      <c r="N496" s="83"/>
      <c r="O496" s="83"/>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7"/>
    </row>
    <row r="497" ht="15.75" customHeight="1">
      <c r="A497" s="6"/>
      <c r="B497" s="6"/>
      <c r="C497" s="6"/>
      <c r="D497" s="6"/>
      <c r="E497" s="6"/>
      <c r="F497" s="6"/>
      <c r="G497" s="83"/>
      <c r="H497" s="83"/>
      <c r="I497" s="83"/>
      <c r="J497" s="83"/>
      <c r="K497" s="83"/>
      <c r="L497" s="83"/>
      <c r="M497" s="6"/>
      <c r="N497" s="83"/>
      <c r="O497" s="83"/>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7"/>
    </row>
    <row r="498" ht="15.75" customHeight="1">
      <c r="A498" s="6"/>
      <c r="B498" s="6"/>
      <c r="C498" s="6"/>
      <c r="D498" s="6"/>
      <c r="E498" s="6"/>
      <c r="F498" s="6"/>
      <c r="G498" s="83"/>
      <c r="H498" s="83"/>
      <c r="I498" s="83"/>
      <c r="J498" s="83"/>
      <c r="K498" s="83"/>
      <c r="L498" s="83"/>
      <c r="M498" s="6"/>
      <c r="N498" s="83"/>
      <c r="O498" s="83"/>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7"/>
    </row>
    <row r="499" ht="15.75" customHeight="1">
      <c r="A499" s="6"/>
      <c r="B499" s="6"/>
      <c r="C499" s="6"/>
      <c r="D499" s="6"/>
      <c r="E499" s="6"/>
      <c r="F499" s="6"/>
      <c r="G499" s="83"/>
      <c r="H499" s="83"/>
      <c r="I499" s="83"/>
      <c r="J499" s="83"/>
      <c r="K499" s="83"/>
      <c r="L499" s="83"/>
      <c r="M499" s="6"/>
      <c r="N499" s="83"/>
      <c r="O499" s="83"/>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7"/>
    </row>
    <row r="500" ht="15.75" customHeight="1">
      <c r="A500" s="6"/>
      <c r="B500" s="6"/>
      <c r="C500" s="6"/>
      <c r="D500" s="6"/>
      <c r="E500" s="6"/>
      <c r="F500" s="6"/>
      <c r="G500" s="83"/>
      <c r="H500" s="83"/>
      <c r="I500" s="83"/>
      <c r="J500" s="83"/>
      <c r="K500" s="83"/>
      <c r="L500" s="83"/>
      <c r="M500" s="6"/>
      <c r="N500" s="83"/>
      <c r="O500" s="83"/>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7"/>
    </row>
    <row r="501" ht="15.75" customHeight="1">
      <c r="A501" s="6"/>
      <c r="B501" s="6"/>
      <c r="C501" s="6"/>
      <c r="D501" s="6"/>
      <c r="E501" s="6"/>
      <c r="F501" s="6"/>
      <c r="G501" s="83"/>
      <c r="H501" s="83"/>
      <c r="I501" s="83"/>
      <c r="J501" s="83"/>
      <c r="K501" s="83"/>
      <c r="L501" s="83"/>
      <c r="M501" s="6"/>
      <c r="N501" s="83"/>
      <c r="O501" s="83"/>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7"/>
    </row>
    <row r="502" ht="15.75" customHeight="1">
      <c r="A502" s="6"/>
      <c r="B502" s="6"/>
      <c r="C502" s="6"/>
      <c r="D502" s="6"/>
      <c r="E502" s="6"/>
      <c r="F502" s="6"/>
      <c r="G502" s="83"/>
      <c r="H502" s="83"/>
      <c r="I502" s="83"/>
      <c r="J502" s="83"/>
      <c r="K502" s="83"/>
      <c r="L502" s="83"/>
      <c r="M502" s="6"/>
      <c r="N502" s="83"/>
      <c r="O502" s="83"/>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7"/>
    </row>
    <row r="503" ht="15.75" customHeight="1">
      <c r="A503" s="6"/>
      <c r="B503" s="6"/>
      <c r="C503" s="6"/>
      <c r="D503" s="6"/>
      <c r="E503" s="6"/>
      <c r="F503" s="6"/>
      <c r="G503" s="83"/>
      <c r="H503" s="83"/>
      <c r="I503" s="83"/>
      <c r="J503" s="83"/>
      <c r="K503" s="83"/>
      <c r="L503" s="83"/>
      <c r="M503" s="6"/>
      <c r="N503" s="83"/>
      <c r="O503" s="83"/>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7"/>
    </row>
    <row r="504" ht="15.75" customHeight="1">
      <c r="A504" s="6"/>
      <c r="B504" s="6"/>
      <c r="C504" s="6"/>
      <c r="D504" s="6"/>
      <c r="E504" s="6"/>
      <c r="F504" s="6"/>
      <c r="G504" s="83"/>
      <c r="H504" s="83"/>
      <c r="I504" s="83"/>
      <c r="J504" s="83"/>
      <c r="K504" s="83"/>
      <c r="L504" s="83"/>
      <c r="M504" s="6"/>
      <c r="N504" s="83"/>
      <c r="O504" s="83"/>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7"/>
    </row>
    <row r="505" ht="15.75" customHeight="1">
      <c r="A505" s="6"/>
      <c r="B505" s="6"/>
      <c r="C505" s="6"/>
      <c r="D505" s="6"/>
      <c r="E505" s="6"/>
      <c r="F505" s="6"/>
      <c r="G505" s="83"/>
      <c r="H505" s="83"/>
      <c r="I505" s="83"/>
      <c r="J505" s="83"/>
      <c r="K505" s="83"/>
      <c r="L505" s="83"/>
      <c r="M505" s="6"/>
      <c r="N505" s="83"/>
      <c r="O505" s="83"/>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7"/>
    </row>
    <row r="506" ht="15.75" customHeight="1">
      <c r="A506" s="6"/>
      <c r="B506" s="6"/>
      <c r="C506" s="6"/>
      <c r="D506" s="6"/>
      <c r="E506" s="6"/>
      <c r="F506" s="6"/>
      <c r="G506" s="83"/>
      <c r="H506" s="83"/>
      <c r="I506" s="83"/>
      <c r="J506" s="83"/>
      <c r="K506" s="83"/>
      <c r="L506" s="83"/>
      <c r="M506" s="6"/>
      <c r="N506" s="83"/>
      <c r="O506" s="83"/>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7"/>
    </row>
    <row r="507" ht="15.75" customHeight="1">
      <c r="A507" s="6"/>
      <c r="B507" s="6"/>
      <c r="C507" s="6"/>
      <c r="D507" s="6"/>
      <c r="E507" s="6"/>
      <c r="F507" s="6"/>
      <c r="G507" s="83"/>
      <c r="H507" s="83"/>
      <c r="I507" s="83"/>
      <c r="J507" s="83"/>
      <c r="K507" s="83"/>
      <c r="L507" s="83"/>
      <c r="M507" s="6"/>
      <c r="N507" s="83"/>
      <c r="O507" s="83"/>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7"/>
    </row>
    <row r="508" ht="15.75" customHeight="1">
      <c r="A508" s="6"/>
      <c r="B508" s="6"/>
      <c r="C508" s="6"/>
      <c r="D508" s="6"/>
      <c r="E508" s="6"/>
      <c r="F508" s="6"/>
      <c r="G508" s="83"/>
      <c r="H508" s="83"/>
      <c r="I508" s="83"/>
      <c r="J508" s="83"/>
      <c r="K508" s="83"/>
      <c r="L508" s="83"/>
      <c r="M508" s="6"/>
      <c r="N508" s="83"/>
      <c r="O508" s="83"/>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7"/>
    </row>
    <row r="509" ht="15.75" customHeight="1">
      <c r="A509" s="6"/>
      <c r="B509" s="6"/>
      <c r="C509" s="6"/>
      <c r="D509" s="6"/>
      <c r="E509" s="6"/>
      <c r="F509" s="6"/>
      <c r="G509" s="83"/>
      <c r="H509" s="83"/>
      <c r="I509" s="83"/>
      <c r="J509" s="83"/>
      <c r="K509" s="83"/>
      <c r="L509" s="83"/>
      <c r="M509" s="6"/>
      <c r="N509" s="83"/>
      <c r="O509" s="83"/>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7"/>
    </row>
    <row r="510" ht="15.75" customHeight="1">
      <c r="A510" s="6"/>
      <c r="B510" s="6"/>
      <c r="C510" s="6"/>
      <c r="D510" s="6"/>
      <c r="E510" s="6"/>
      <c r="F510" s="6"/>
      <c r="G510" s="83"/>
      <c r="H510" s="83"/>
      <c r="I510" s="83"/>
      <c r="J510" s="83"/>
      <c r="K510" s="83"/>
      <c r="L510" s="83"/>
      <c r="M510" s="6"/>
      <c r="N510" s="83"/>
      <c r="O510" s="83"/>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7"/>
    </row>
    <row r="511" ht="15.75" customHeight="1">
      <c r="A511" s="6"/>
      <c r="B511" s="6"/>
      <c r="C511" s="6"/>
      <c r="D511" s="6"/>
      <c r="E511" s="6"/>
      <c r="F511" s="6"/>
      <c r="G511" s="83"/>
      <c r="H511" s="83"/>
      <c r="I511" s="83"/>
      <c r="J511" s="83"/>
      <c r="K511" s="83"/>
      <c r="L511" s="83"/>
      <c r="M511" s="6"/>
      <c r="N511" s="83"/>
      <c r="O511" s="83"/>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7"/>
    </row>
    <row r="512" ht="15.75" customHeight="1">
      <c r="A512" s="6"/>
      <c r="B512" s="6"/>
      <c r="C512" s="6"/>
      <c r="D512" s="6"/>
      <c r="E512" s="6"/>
      <c r="F512" s="6"/>
      <c r="G512" s="83"/>
      <c r="H512" s="83"/>
      <c r="I512" s="83"/>
      <c r="J512" s="83"/>
      <c r="K512" s="83"/>
      <c r="L512" s="83"/>
      <c r="M512" s="6"/>
      <c r="N512" s="83"/>
      <c r="O512" s="83"/>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7"/>
    </row>
    <row r="513" ht="15.75" customHeight="1">
      <c r="A513" s="6"/>
      <c r="B513" s="6"/>
      <c r="C513" s="6"/>
      <c r="D513" s="6"/>
      <c r="E513" s="6"/>
      <c r="F513" s="6"/>
      <c r="G513" s="83"/>
      <c r="H513" s="83"/>
      <c r="I513" s="83"/>
      <c r="J513" s="83"/>
      <c r="K513" s="83"/>
      <c r="L513" s="83"/>
      <c r="M513" s="6"/>
      <c r="N513" s="83"/>
      <c r="O513" s="83"/>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7"/>
    </row>
    <row r="514" ht="15.75" customHeight="1">
      <c r="A514" s="6"/>
      <c r="B514" s="6"/>
      <c r="C514" s="6"/>
      <c r="D514" s="6"/>
      <c r="E514" s="6"/>
      <c r="F514" s="6"/>
      <c r="G514" s="83"/>
      <c r="H514" s="83"/>
      <c r="I514" s="83"/>
      <c r="J514" s="83"/>
      <c r="K514" s="83"/>
      <c r="L514" s="83"/>
      <c r="M514" s="6"/>
      <c r="N514" s="83"/>
      <c r="O514" s="83"/>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7"/>
    </row>
    <row r="515" ht="15.75" customHeight="1">
      <c r="A515" s="6"/>
      <c r="B515" s="6"/>
      <c r="C515" s="6"/>
      <c r="D515" s="6"/>
      <c r="E515" s="6"/>
      <c r="F515" s="6"/>
      <c r="G515" s="83"/>
      <c r="H515" s="83"/>
      <c r="I515" s="83"/>
      <c r="J515" s="83"/>
      <c r="K515" s="83"/>
      <c r="L515" s="83"/>
      <c r="M515" s="6"/>
      <c r="N515" s="83"/>
      <c r="O515" s="83"/>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7"/>
    </row>
    <row r="516" ht="15.75" customHeight="1">
      <c r="A516" s="6"/>
      <c r="B516" s="6"/>
      <c r="C516" s="6"/>
      <c r="D516" s="6"/>
      <c r="E516" s="6"/>
      <c r="F516" s="6"/>
      <c r="G516" s="83"/>
      <c r="H516" s="83"/>
      <c r="I516" s="83"/>
      <c r="J516" s="83"/>
      <c r="K516" s="83"/>
      <c r="L516" s="83"/>
      <c r="M516" s="6"/>
      <c r="N516" s="83"/>
      <c r="O516" s="83"/>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7"/>
    </row>
    <row r="517" ht="15.75" customHeight="1">
      <c r="A517" s="6"/>
      <c r="B517" s="6"/>
      <c r="C517" s="6"/>
      <c r="D517" s="6"/>
      <c r="E517" s="6"/>
      <c r="F517" s="6"/>
      <c r="G517" s="83"/>
      <c r="H517" s="83"/>
      <c r="I517" s="83"/>
      <c r="J517" s="83"/>
      <c r="K517" s="83"/>
      <c r="L517" s="83"/>
      <c r="M517" s="6"/>
      <c r="N517" s="83"/>
      <c r="O517" s="83"/>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7"/>
    </row>
    <row r="518" ht="15.75" customHeight="1">
      <c r="A518" s="6"/>
      <c r="B518" s="6"/>
      <c r="C518" s="6"/>
      <c r="D518" s="6"/>
      <c r="E518" s="6"/>
      <c r="F518" s="6"/>
      <c r="G518" s="83"/>
      <c r="H518" s="83"/>
      <c r="I518" s="83"/>
      <c r="J518" s="83"/>
      <c r="K518" s="83"/>
      <c r="L518" s="83"/>
      <c r="M518" s="6"/>
      <c r="N518" s="83"/>
      <c r="O518" s="83"/>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7"/>
    </row>
    <row r="519" ht="15.75" customHeight="1">
      <c r="A519" s="6"/>
      <c r="B519" s="6"/>
      <c r="C519" s="6"/>
      <c r="D519" s="6"/>
      <c r="E519" s="6"/>
      <c r="F519" s="6"/>
      <c r="G519" s="83"/>
      <c r="H519" s="83"/>
      <c r="I519" s="83"/>
      <c r="J519" s="83"/>
      <c r="K519" s="83"/>
      <c r="L519" s="83"/>
      <c r="M519" s="6"/>
      <c r="N519" s="83"/>
      <c r="O519" s="83"/>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7"/>
    </row>
    <row r="520" ht="15.75" customHeight="1">
      <c r="A520" s="6"/>
      <c r="B520" s="6"/>
      <c r="C520" s="6"/>
      <c r="D520" s="6"/>
      <c r="E520" s="6"/>
      <c r="F520" s="6"/>
      <c r="G520" s="83"/>
      <c r="H520" s="83"/>
      <c r="I520" s="83"/>
      <c r="J520" s="83"/>
      <c r="K520" s="83"/>
      <c r="L520" s="83"/>
      <c r="M520" s="6"/>
      <c r="N520" s="83"/>
      <c r="O520" s="83"/>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7"/>
    </row>
    <row r="521" ht="15.75" customHeight="1">
      <c r="A521" s="6"/>
      <c r="B521" s="6"/>
      <c r="C521" s="6"/>
      <c r="D521" s="6"/>
      <c r="E521" s="6"/>
      <c r="F521" s="6"/>
      <c r="G521" s="83"/>
      <c r="H521" s="83"/>
      <c r="I521" s="83"/>
      <c r="J521" s="83"/>
      <c r="K521" s="83"/>
      <c r="L521" s="83"/>
      <c r="M521" s="6"/>
      <c r="N521" s="83"/>
      <c r="O521" s="83"/>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7"/>
    </row>
    <row r="522" ht="15.75" customHeight="1">
      <c r="A522" s="6"/>
      <c r="B522" s="6"/>
      <c r="C522" s="6"/>
      <c r="D522" s="6"/>
      <c r="E522" s="6"/>
      <c r="F522" s="6"/>
      <c r="G522" s="83"/>
      <c r="H522" s="83"/>
      <c r="I522" s="83"/>
      <c r="J522" s="83"/>
      <c r="K522" s="83"/>
      <c r="L522" s="83"/>
      <c r="M522" s="6"/>
      <c r="N522" s="83"/>
      <c r="O522" s="83"/>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7"/>
    </row>
    <row r="523" ht="15.75" customHeight="1">
      <c r="A523" s="6"/>
      <c r="B523" s="6"/>
      <c r="C523" s="6"/>
      <c r="D523" s="6"/>
      <c r="E523" s="6"/>
      <c r="F523" s="6"/>
      <c r="G523" s="83"/>
      <c r="H523" s="83"/>
      <c r="I523" s="83"/>
      <c r="J523" s="83"/>
      <c r="K523" s="83"/>
      <c r="L523" s="83"/>
      <c r="M523" s="6"/>
      <c r="N523" s="83"/>
      <c r="O523" s="83"/>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7"/>
    </row>
    <row r="524" ht="15.75" customHeight="1">
      <c r="A524" s="6"/>
      <c r="B524" s="6"/>
      <c r="C524" s="6"/>
      <c r="D524" s="6"/>
      <c r="E524" s="6"/>
      <c r="F524" s="6"/>
      <c r="G524" s="83"/>
      <c r="H524" s="83"/>
      <c r="I524" s="83"/>
      <c r="J524" s="83"/>
      <c r="K524" s="83"/>
      <c r="L524" s="83"/>
      <c r="M524" s="6"/>
      <c r="N524" s="83"/>
      <c r="O524" s="83"/>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7"/>
    </row>
    <row r="525" ht="15.75" customHeight="1">
      <c r="A525" s="6"/>
      <c r="B525" s="6"/>
      <c r="C525" s="6"/>
      <c r="D525" s="6"/>
      <c r="E525" s="6"/>
      <c r="F525" s="6"/>
      <c r="G525" s="83"/>
      <c r="H525" s="83"/>
      <c r="I525" s="83"/>
      <c r="J525" s="83"/>
      <c r="K525" s="83"/>
      <c r="L525" s="83"/>
      <c r="M525" s="6"/>
      <c r="N525" s="83"/>
      <c r="O525" s="83"/>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7"/>
    </row>
    <row r="526" ht="15.75" customHeight="1">
      <c r="A526" s="6"/>
      <c r="B526" s="6"/>
      <c r="C526" s="6"/>
      <c r="D526" s="6"/>
      <c r="E526" s="6"/>
      <c r="F526" s="6"/>
      <c r="G526" s="83"/>
      <c r="H526" s="83"/>
      <c r="I526" s="83"/>
      <c r="J526" s="83"/>
      <c r="K526" s="83"/>
      <c r="L526" s="83"/>
      <c r="M526" s="6"/>
      <c r="N526" s="83"/>
      <c r="O526" s="83"/>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7"/>
    </row>
    <row r="527" ht="15.75" customHeight="1">
      <c r="A527" s="6"/>
      <c r="B527" s="6"/>
      <c r="C527" s="6"/>
      <c r="D527" s="6"/>
      <c r="E527" s="6"/>
      <c r="F527" s="6"/>
      <c r="G527" s="83"/>
      <c r="H527" s="83"/>
      <c r="I527" s="83"/>
      <c r="J527" s="83"/>
      <c r="K527" s="83"/>
      <c r="L527" s="83"/>
      <c r="M527" s="6"/>
      <c r="N527" s="83"/>
      <c r="O527" s="83"/>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7"/>
    </row>
    <row r="528" ht="15.75" customHeight="1">
      <c r="A528" s="6"/>
      <c r="B528" s="6"/>
      <c r="C528" s="6"/>
      <c r="D528" s="6"/>
      <c r="E528" s="6"/>
      <c r="F528" s="6"/>
      <c r="G528" s="83"/>
      <c r="H528" s="83"/>
      <c r="I528" s="83"/>
      <c r="J528" s="83"/>
      <c r="K528" s="83"/>
      <c r="L528" s="83"/>
      <c r="M528" s="6"/>
      <c r="N528" s="83"/>
      <c r="O528" s="83"/>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7"/>
    </row>
    <row r="529" ht="15.75" customHeight="1">
      <c r="A529" s="6"/>
      <c r="B529" s="6"/>
      <c r="C529" s="6"/>
      <c r="D529" s="6"/>
      <c r="E529" s="6"/>
      <c r="F529" s="6"/>
      <c r="G529" s="83"/>
      <c r="H529" s="83"/>
      <c r="I529" s="83"/>
      <c r="J529" s="83"/>
      <c r="K529" s="83"/>
      <c r="L529" s="83"/>
      <c r="M529" s="6"/>
      <c r="N529" s="83"/>
      <c r="O529" s="83"/>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7"/>
    </row>
    <row r="530" ht="15.75" customHeight="1">
      <c r="A530" s="6"/>
      <c r="B530" s="6"/>
      <c r="C530" s="6"/>
      <c r="D530" s="6"/>
      <c r="E530" s="6"/>
      <c r="F530" s="6"/>
      <c r="G530" s="83"/>
      <c r="H530" s="83"/>
      <c r="I530" s="83"/>
      <c r="J530" s="83"/>
      <c r="K530" s="83"/>
      <c r="L530" s="83"/>
      <c r="M530" s="6"/>
      <c r="N530" s="83"/>
      <c r="O530" s="83"/>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7"/>
    </row>
    <row r="531" ht="15.75" customHeight="1">
      <c r="A531" s="6"/>
      <c r="B531" s="6"/>
      <c r="C531" s="6"/>
      <c r="D531" s="6"/>
      <c r="E531" s="6"/>
      <c r="F531" s="6"/>
      <c r="G531" s="83"/>
      <c r="H531" s="83"/>
      <c r="I531" s="83"/>
      <c r="J531" s="83"/>
      <c r="K531" s="83"/>
      <c r="L531" s="83"/>
      <c r="M531" s="6"/>
      <c r="N531" s="83"/>
      <c r="O531" s="83"/>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7"/>
    </row>
    <row r="532" ht="15.75" customHeight="1">
      <c r="A532" s="6"/>
      <c r="B532" s="6"/>
      <c r="C532" s="6"/>
      <c r="D532" s="6"/>
      <c r="E532" s="6"/>
      <c r="F532" s="6"/>
      <c r="G532" s="83"/>
      <c r="H532" s="83"/>
      <c r="I532" s="83"/>
      <c r="J532" s="83"/>
      <c r="K532" s="83"/>
      <c r="L532" s="83"/>
      <c r="M532" s="6"/>
      <c r="N532" s="83"/>
      <c r="O532" s="83"/>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7"/>
    </row>
    <row r="533" ht="15.75" customHeight="1">
      <c r="A533" s="6"/>
      <c r="B533" s="6"/>
      <c r="C533" s="6"/>
      <c r="D533" s="6"/>
      <c r="E533" s="6"/>
      <c r="F533" s="6"/>
      <c r="G533" s="83"/>
      <c r="H533" s="83"/>
      <c r="I533" s="83"/>
      <c r="J533" s="83"/>
      <c r="K533" s="83"/>
      <c r="L533" s="83"/>
      <c r="M533" s="6"/>
      <c r="N533" s="83"/>
      <c r="O533" s="83"/>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7"/>
    </row>
    <row r="534" ht="15.75" customHeight="1">
      <c r="A534" s="6"/>
      <c r="B534" s="6"/>
      <c r="C534" s="6"/>
      <c r="D534" s="6"/>
      <c r="E534" s="6"/>
      <c r="F534" s="6"/>
      <c r="G534" s="83"/>
      <c r="H534" s="83"/>
      <c r="I534" s="83"/>
      <c r="J534" s="83"/>
      <c r="K534" s="83"/>
      <c r="L534" s="83"/>
      <c r="M534" s="6"/>
      <c r="N534" s="83"/>
      <c r="O534" s="83"/>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7"/>
    </row>
    <row r="535" ht="15.75" customHeight="1">
      <c r="A535" s="6"/>
      <c r="B535" s="6"/>
      <c r="C535" s="6"/>
      <c r="D535" s="6"/>
      <c r="E535" s="6"/>
      <c r="F535" s="6"/>
      <c r="G535" s="83"/>
      <c r="H535" s="83"/>
      <c r="I535" s="83"/>
      <c r="J535" s="83"/>
      <c r="K535" s="83"/>
      <c r="L535" s="83"/>
      <c r="M535" s="6"/>
      <c r="N535" s="83"/>
      <c r="O535" s="83"/>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7"/>
    </row>
    <row r="536" ht="15.75" customHeight="1">
      <c r="A536" s="6"/>
      <c r="B536" s="6"/>
      <c r="C536" s="6"/>
      <c r="D536" s="6"/>
      <c r="E536" s="6"/>
      <c r="F536" s="6"/>
      <c r="G536" s="83"/>
      <c r="H536" s="83"/>
      <c r="I536" s="83"/>
      <c r="J536" s="83"/>
      <c r="K536" s="83"/>
      <c r="L536" s="83"/>
      <c r="M536" s="6"/>
      <c r="N536" s="83"/>
      <c r="O536" s="83"/>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7"/>
    </row>
    <row r="537" ht="15.75" customHeight="1">
      <c r="A537" s="6"/>
      <c r="B537" s="6"/>
      <c r="C537" s="6"/>
      <c r="D537" s="6"/>
      <c r="E537" s="6"/>
      <c r="F537" s="6"/>
      <c r="G537" s="83"/>
      <c r="H537" s="83"/>
      <c r="I537" s="83"/>
      <c r="J537" s="83"/>
      <c r="K537" s="83"/>
      <c r="L537" s="83"/>
      <c r="M537" s="6"/>
      <c r="N537" s="83"/>
      <c r="O537" s="83"/>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7"/>
    </row>
    <row r="538" ht="15.75" customHeight="1">
      <c r="A538" s="6"/>
      <c r="B538" s="6"/>
      <c r="C538" s="6"/>
      <c r="D538" s="6"/>
      <c r="E538" s="6"/>
      <c r="F538" s="6"/>
      <c r="G538" s="83"/>
      <c r="H538" s="83"/>
      <c r="I538" s="83"/>
      <c r="J538" s="83"/>
      <c r="K538" s="83"/>
      <c r="L538" s="83"/>
      <c r="M538" s="6"/>
      <c r="N538" s="83"/>
      <c r="O538" s="83"/>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7"/>
    </row>
    <row r="539" ht="15.75" customHeight="1">
      <c r="A539" s="6"/>
      <c r="B539" s="6"/>
      <c r="C539" s="6"/>
      <c r="D539" s="6"/>
      <c r="E539" s="6"/>
      <c r="F539" s="6"/>
      <c r="G539" s="83"/>
      <c r="H539" s="83"/>
      <c r="I539" s="83"/>
      <c r="J539" s="83"/>
      <c r="K539" s="83"/>
      <c r="L539" s="83"/>
      <c r="M539" s="6"/>
      <c r="N539" s="83"/>
      <c r="O539" s="83"/>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7"/>
    </row>
    <row r="540" ht="15.75" customHeight="1">
      <c r="A540" s="6"/>
      <c r="B540" s="6"/>
      <c r="C540" s="6"/>
      <c r="D540" s="6"/>
      <c r="E540" s="6"/>
      <c r="F540" s="6"/>
      <c r="G540" s="83"/>
      <c r="H540" s="83"/>
      <c r="I540" s="83"/>
      <c r="J540" s="83"/>
      <c r="K540" s="83"/>
      <c r="L540" s="83"/>
      <c r="M540" s="6"/>
      <c r="N540" s="83"/>
      <c r="O540" s="83"/>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7"/>
    </row>
    <row r="541" ht="15.75" customHeight="1">
      <c r="A541" s="6"/>
      <c r="B541" s="6"/>
      <c r="C541" s="6"/>
      <c r="D541" s="6"/>
      <c r="E541" s="6"/>
      <c r="F541" s="6"/>
      <c r="G541" s="83"/>
      <c r="H541" s="83"/>
      <c r="I541" s="83"/>
      <c r="J541" s="83"/>
      <c r="K541" s="83"/>
      <c r="L541" s="83"/>
      <c r="M541" s="6"/>
      <c r="N541" s="83"/>
      <c r="O541" s="83"/>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7"/>
    </row>
    <row r="542" ht="15.75" customHeight="1">
      <c r="A542" s="6"/>
      <c r="B542" s="6"/>
      <c r="C542" s="6"/>
      <c r="D542" s="6"/>
      <c r="E542" s="6"/>
      <c r="F542" s="6"/>
      <c r="G542" s="83"/>
      <c r="H542" s="83"/>
      <c r="I542" s="83"/>
      <c r="J542" s="83"/>
      <c r="K542" s="83"/>
      <c r="L542" s="83"/>
      <c r="M542" s="6"/>
      <c r="N542" s="83"/>
      <c r="O542" s="83"/>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7"/>
    </row>
    <row r="543" ht="15.75" customHeight="1">
      <c r="A543" s="6"/>
      <c r="B543" s="6"/>
      <c r="C543" s="6"/>
      <c r="D543" s="6"/>
      <c r="E543" s="6"/>
      <c r="F543" s="6"/>
      <c r="G543" s="83"/>
      <c r="H543" s="83"/>
      <c r="I543" s="83"/>
      <c r="J543" s="83"/>
      <c r="K543" s="83"/>
      <c r="L543" s="83"/>
      <c r="M543" s="6"/>
      <c r="N543" s="83"/>
      <c r="O543" s="83"/>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7"/>
    </row>
    <row r="544" ht="15.75" customHeight="1">
      <c r="A544" s="6"/>
      <c r="B544" s="6"/>
      <c r="C544" s="6"/>
      <c r="D544" s="6"/>
      <c r="E544" s="6"/>
      <c r="F544" s="6"/>
      <c r="G544" s="83"/>
      <c r="H544" s="83"/>
      <c r="I544" s="83"/>
      <c r="J544" s="83"/>
      <c r="K544" s="83"/>
      <c r="L544" s="83"/>
      <c r="M544" s="6"/>
      <c r="N544" s="83"/>
      <c r="O544" s="83"/>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7"/>
    </row>
    <row r="545" ht="15.75" customHeight="1">
      <c r="A545" s="6"/>
      <c r="B545" s="6"/>
      <c r="C545" s="6"/>
      <c r="D545" s="6"/>
      <c r="E545" s="6"/>
      <c r="F545" s="6"/>
      <c r="G545" s="83"/>
      <c r="H545" s="83"/>
      <c r="I545" s="83"/>
      <c r="J545" s="83"/>
      <c r="K545" s="83"/>
      <c r="L545" s="83"/>
      <c r="M545" s="6"/>
      <c r="N545" s="83"/>
      <c r="O545" s="83"/>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7"/>
    </row>
    <row r="546" ht="15.75" customHeight="1">
      <c r="A546" s="6"/>
      <c r="B546" s="6"/>
      <c r="C546" s="6"/>
      <c r="D546" s="6"/>
      <c r="E546" s="6"/>
      <c r="F546" s="6"/>
      <c r="G546" s="83"/>
      <c r="H546" s="83"/>
      <c r="I546" s="83"/>
      <c r="J546" s="83"/>
      <c r="K546" s="83"/>
      <c r="L546" s="83"/>
      <c r="M546" s="6"/>
      <c r="N546" s="83"/>
      <c r="O546" s="83"/>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7"/>
    </row>
    <row r="547" ht="15.75" customHeight="1">
      <c r="A547" s="6"/>
      <c r="B547" s="6"/>
      <c r="C547" s="6"/>
      <c r="D547" s="6"/>
      <c r="E547" s="6"/>
      <c r="F547" s="6"/>
      <c r="G547" s="83"/>
      <c r="H547" s="83"/>
      <c r="I547" s="83"/>
      <c r="J547" s="83"/>
      <c r="K547" s="83"/>
      <c r="L547" s="83"/>
      <c r="M547" s="6"/>
      <c r="N547" s="83"/>
      <c r="O547" s="83"/>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7"/>
    </row>
    <row r="548" ht="15.75" customHeight="1">
      <c r="A548" s="6"/>
      <c r="B548" s="6"/>
      <c r="C548" s="6"/>
      <c r="D548" s="6"/>
      <c r="E548" s="6"/>
      <c r="F548" s="6"/>
      <c r="G548" s="83"/>
      <c r="H548" s="83"/>
      <c r="I548" s="83"/>
      <c r="J548" s="83"/>
      <c r="K548" s="83"/>
      <c r="L548" s="83"/>
      <c r="M548" s="6"/>
      <c r="N548" s="83"/>
      <c r="O548" s="83"/>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7"/>
    </row>
    <row r="549" ht="15.75" customHeight="1">
      <c r="A549" s="6"/>
      <c r="B549" s="6"/>
      <c r="C549" s="6"/>
      <c r="D549" s="6"/>
      <c r="E549" s="6"/>
      <c r="F549" s="6"/>
      <c r="G549" s="83"/>
      <c r="H549" s="83"/>
      <c r="I549" s="83"/>
      <c r="J549" s="83"/>
      <c r="K549" s="83"/>
      <c r="L549" s="83"/>
      <c r="M549" s="6"/>
      <c r="N549" s="83"/>
      <c r="O549" s="83"/>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7"/>
    </row>
    <row r="550" ht="15.75" customHeight="1">
      <c r="A550" s="6"/>
      <c r="B550" s="6"/>
      <c r="C550" s="6"/>
      <c r="D550" s="6"/>
      <c r="E550" s="6"/>
      <c r="F550" s="6"/>
      <c r="G550" s="83"/>
      <c r="H550" s="83"/>
      <c r="I550" s="83"/>
      <c r="J550" s="83"/>
      <c r="K550" s="83"/>
      <c r="L550" s="83"/>
      <c r="M550" s="6"/>
      <c r="N550" s="83"/>
      <c r="O550" s="83"/>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7"/>
    </row>
    <row r="551" ht="15.75" customHeight="1">
      <c r="A551" s="6"/>
      <c r="B551" s="6"/>
      <c r="C551" s="6"/>
      <c r="D551" s="6"/>
      <c r="E551" s="6"/>
      <c r="F551" s="6"/>
      <c r="G551" s="83"/>
      <c r="H551" s="83"/>
      <c r="I551" s="83"/>
      <c r="J551" s="83"/>
      <c r="K551" s="83"/>
      <c r="L551" s="83"/>
      <c r="M551" s="6"/>
      <c r="N551" s="83"/>
      <c r="O551" s="83"/>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7"/>
    </row>
    <row r="552" ht="15.75" customHeight="1">
      <c r="A552" s="6"/>
      <c r="B552" s="6"/>
      <c r="C552" s="6"/>
      <c r="D552" s="6"/>
      <c r="E552" s="6"/>
      <c r="F552" s="6"/>
      <c r="G552" s="83"/>
      <c r="H552" s="83"/>
      <c r="I552" s="83"/>
      <c r="J552" s="83"/>
      <c r="K552" s="83"/>
      <c r="L552" s="83"/>
      <c r="M552" s="6"/>
      <c r="N552" s="83"/>
      <c r="O552" s="83"/>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7"/>
    </row>
    <row r="553" ht="15.75" customHeight="1">
      <c r="A553" s="6"/>
      <c r="B553" s="6"/>
      <c r="C553" s="6"/>
      <c r="D553" s="6"/>
      <c r="E553" s="6"/>
      <c r="F553" s="6"/>
      <c r="G553" s="83"/>
      <c r="H553" s="83"/>
      <c r="I553" s="83"/>
      <c r="J553" s="83"/>
      <c r="K553" s="83"/>
      <c r="L553" s="83"/>
      <c r="M553" s="6"/>
      <c r="N553" s="83"/>
      <c r="O553" s="83"/>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7"/>
    </row>
    <row r="554" ht="15.75" customHeight="1">
      <c r="A554" s="6"/>
      <c r="B554" s="6"/>
      <c r="C554" s="6"/>
      <c r="D554" s="6"/>
      <c r="E554" s="6"/>
      <c r="F554" s="6"/>
      <c r="G554" s="83"/>
      <c r="H554" s="83"/>
      <c r="I554" s="83"/>
      <c r="J554" s="83"/>
      <c r="K554" s="83"/>
      <c r="L554" s="83"/>
      <c r="M554" s="6"/>
      <c r="N554" s="83"/>
      <c r="O554" s="83"/>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7"/>
    </row>
    <row r="555" ht="15.75" customHeight="1">
      <c r="A555" s="6"/>
      <c r="B555" s="6"/>
      <c r="C555" s="6"/>
      <c r="D555" s="6"/>
      <c r="E555" s="6"/>
      <c r="F555" s="6"/>
      <c r="G555" s="83"/>
      <c r="H555" s="83"/>
      <c r="I555" s="83"/>
      <c r="J555" s="83"/>
      <c r="K555" s="83"/>
      <c r="L555" s="83"/>
      <c r="M555" s="6"/>
      <c r="N555" s="83"/>
      <c r="O555" s="83"/>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7"/>
    </row>
    <row r="556" ht="15.75" customHeight="1">
      <c r="A556" s="6"/>
      <c r="B556" s="6"/>
      <c r="C556" s="6"/>
      <c r="D556" s="6"/>
      <c r="E556" s="6"/>
      <c r="F556" s="6"/>
      <c r="G556" s="83"/>
      <c r="H556" s="83"/>
      <c r="I556" s="83"/>
      <c r="J556" s="83"/>
      <c r="K556" s="83"/>
      <c r="L556" s="83"/>
      <c r="M556" s="6"/>
      <c r="N556" s="83"/>
      <c r="O556" s="83"/>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7"/>
    </row>
    <row r="557" ht="15.75" customHeight="1">
      <c r="A557" s="6"/>
      <c r="B557" s="6"/>
      <c r="C557" s="6"/>
      <c r="D557" s="6"/>
      <c r="E557" s="6"/>
      <c r="F557" s="6"/>
      <c r="G557" s="83"/>
      <c r="H557" s="83"/>
      <c r="I557" s="83"/>
      <c r="J557" s="83"/>
      <c r="K557" s="83"/>
      <c r="L557" s="83"/>
      <c r="M557" s="6"/>
      <c r="N557" s="83"/>
      <c r="O557" s="83"/>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7"/>
    </row>
    <row r="558" ht="15.75" customHeight="1">
      <c r="A558" s="6"/>
      <c r="B558" s="6"/>
      <c r="C558" s="6"/>
      <c r="D558" s="6"/>
      <c r="E558" s="6"/>
      <c r="F558" s="6"/>
      <c r="G558" s="83"/>
      <c r="H558" s="83"/>
      <c r="I558" s="83"/>
      <c r="J558" s="83"/>
      <c r="K558" s="83"/>
      <c r="L558" s="83"/>
      <c r="M558" s="6"/>
      <c r="N558" s="83"/>
      <c r="O558" s="83"/>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7"/>
    </row>
    <row r="559" ht="15.75" customHeight="1">
      <c r="A559" s="6"/>
      <c r="B559" s="6"/>
      <c r="C559" s="6"/>
      <c r="D559" s="6"/>
      <c r="E559" s="6"/>
      <c r="F559" s="6"/>
      <c r="G559" s="83"/>
      <c r="H559" s="83"/>
      <c r="I559" s="83"/>
      <c r="J559" s="83"/>
      <c r="K559" s="83"/>
      <c r="L559" s="83"/>
      <c r="M559" s="6"/>
      <c r="N559" s="83"/>
      <c r="O559" s="83"/>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7"/>
    </row>
    <row r="560" ht="15.75" customHeight="1">
      <c r="A560" s="6"/>
      <c r="B560" s="6"/>
      <c r="C560" s="6"/>
      <c r="D560" s="6"/>
      <c r="E560" s="6"/>
      <c r="F560" s="6"/>
      <c r="G560" s="83"/>
      <c r="H560" s="83"/>
      <c r="I560" s="83"/>
      <c r="J560" s="83"/>
      <c r="K560" s="83"/>
      <c r="L560" s="83"/>
      <c r="M560" s="6"/>
      <c r="N560" s="83"/>
      <c r="O560" s="83"/>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7"/>
    </row>
    <row r="561" ht="15.75" customHeight="1">
      <c r="A561" s="6"/>
      <c r="B561" s="6"/>
      <c r="C561" s="6"/>
      <c r="D561" s="6"/>
      <c r="E561" s="6"/>
      <c r="F561" s="6"/>
      <c r="G561" s="83"/>
      <c r="H561" s="83"/>
      <c r="I561" s="83"/>
      <c r="J561" s="83"/>
      <c r="K561" s="83"/>
      <c r="L561" s="83"/>
      <c r="M561" s="6"/>
      <c r="N561" s="83"/>
      <c r="O561" s="83"/>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7"/>
    </row>
    <row r="562" ht="15.75" customHeight="1">
      <c r="A562" s="6"/>
      <c r="B562" s="6"/>
      <c r="C562" s="6"/>
      <c r="D562" s="6"/>
      <c r="E562" s="6"/>
      <c r="F562" s="6"/>
      <c r="G562" s="83"/>
      <c r="H562" s="83"/>
      <c r="I562" s="83"/>
      <c r="J562" s="83"/>
      <c r="K562" s="83"/>
      <c r="L562" s="83"/>
      <c r="M562" s="6"/>
      <c r="N562" s="83"/>
      <c r="O562" s="83"/>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7"/>
    </row>
    <row r="563" ht="15.75" customHeight="1">
      <c r="A563" s="6"/>
      <c r="B563" s="6"/>
      <c r="C563" s="6"/>
      <c r="D563" s="6"/>
      <c r="E563" s="6"/>
      <c r="F563" s="6"/>
      <c r="G563" s="83"/>
      <c r="H563" s="83"/>
      <c r="I563" s="83"/>
      <c r="J563" s="83"/>
      <c r="K563" s="83"/>
      <c r="L563" s="83"/>
      <c r="M563" s="6"/>
      <c r="N563" s="83"/>
      <c r="O563" s="83"/>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7"/>
    </row>
    <row r="564" ht="15.75" customHeight="1">
      <c r="A564" s="6"/>
      <c r="B564" s="6"/>
      <c r="C564" s="6"/>
      <c r="D564" s="6"/>
      <c r="E564" s="6"/>
      <c r="F564" s="6"/>
      <c r="G564" s="83"/>
      <c r="H564" s="83"/>
      <c r="I564" s="83"/>
      <c r="J564" s="83"/>
      <c r="K564" s="83"/>
      <c r="L564" s="83"/>
      <c r="M564" s="6"/>
      <c r="N564" s="83"/>
      <c r="O564" s="83"/>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7"/>
    </row>
    <row r="565" ht="15.75" customHeight="1">
      <c r="A565" s="6"/>
      <c r="B565" s="6"/>
      <c r="C565" s="6"/>
      <c r="D565" s="6"/>
      <c r="E565" s="6"/>
      <c r="F565" s="6"/>
      <c r="G565" s="83"/>
      <c r="H565" s="83"/>
      <c r="I565" s="83"/>
      <c r="J565" s="83"/>
      <c r="K565" s="83"/>
      <c r="L565" s="83"/>
      <c r="M565" s="6"/>
      <c r="N565" s="83"/>
      <c r="O565" s="83"/>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7"/>
    </row>
    <row r="566" ht="15.75" customHeight="1">
      <c r="A566" s="6"/>
      <c r="B566" s="6"/>
      <c r="C566" s="6"/>
      <c r="D566" s="6"/>
      <c r="E566" s="6"/>
      <c r="F566" s="6"/>
      <c r="G566" s="83"/>
      <c r="H566" s="83"/>
      <c r="I566" s="83"/>
      <c r="J566" s="83"/>
      <c r="K566" s="83"/>
      <c r="L566" s="83"/>
      <c r="M566" s="6"/>
      <c r="N566" s="83"/>
      <c r="O566" s="83"/>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7"/>
    </row>
    <row r="567" ht="15.75" customHeight="1">
      <c r="A567" s="6"/>
      <c r="B567" s="6"/>
      <c r="C567" s="6"/>
      <c r="D567" s="6"/>
      <c r="E567" s="6"/>
      <c r="F567" s="6"/>
      <c r="G567" s="83"/>
      <c r="H567" s="83"/>
      <c r="I567" s="83"/>
      <c r="J567" s="83"/>
      <c r="K567" s="83"/>
      <c r="L567" s="83"/>
      <c r="M567" s="6"/>
      <c r="N567" s="83"/>
      <c r="O567" s="83"/>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7"/>
    </row>
    <row r="568" ht="15.75" customHeight="1">
      <c r="A568" s="6"/>
      <c r="B568" s="6"/>
      <c r="C568" s="6"/>
      <c r="D568" s="6"/>
      <c r="E568" s="6"/>
      <c r="F568" s="6"/>
      <c r="G568" s="83"/>
      <c r="H568" s="83"/>
      <c r="I568" s="83"/>
      <c r="J568" s="83"/>
      <c r="K568" s="83"/>
      <c r="L568" s="83"/>
      <c r="M568" s="6"/>
      <c r="N568" s="83"/>
      <c r="O568" s="83"/>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7"/>
    </row>
    <row r="569" ht="15.75" customHeight="1">
      <c r="A569" s="6"/>
      <c r="B569" s="6"/>
      <c r="C569" s="6"/>
      <c r="D569" s="6"/>
      <c r="E569" s="6"/>
      <c r="F569" s="6"/>
      <c r="G569" s="83"/>
      <c r="H569" s="83"/>
      <c r="I569" s="83"/>
      <c r="J569" s="83"/>
      <c r="K569" s="83"/>
      <c r="L569" s="83"/>
      <c r="M569" s="6"/>
      <c r="N569" s="83"/>
      <c r="O569" s="83"/>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7"/>
    </row>
    <row r="570" ht="15.75" customHeight="1">
      <c r="A570" s="6"/>
      <c r="B570" s="6"/>
      <c r="C570" s="6"/>
      <c r="D570" s="6"/>
      <c r="E570" s="6"/>
      <c r="F570" s="6"/>
      <c r="G570" s="83"/>
      <c r="H570" s="83"/>
      <c r="I570" s="83"/>
      <c r="J570" s="83"/>
      <c r="K570" s="83"/>
      <c r="L570" s="83"/>
      <c r="M570" s="6"/>
      <c r="N570" s="83"/>
      <c r="O570" s="83"/>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7"/>
    </row>
    <row r="571" ht="15.75" customHeight="1">
      <c r="A571" s="6"/>
      <c r="B571" s="6"/>
      <c r="C571" s="6"/>
      <c r="D571" s="6"/>
      <c r="E571" s="6"/>
      <c r="F571" s="6"/>
      <c r="G571" s="83"/>
      <c r="H571" s="83"/>
      <c r="I571" s="83"/>
      <c r="J571" s="83"/>
      <c r="K571" s="83"/>
      <c r="L571" s="83"/>
      <c r="M571" s="6"/>
      <c r="N571" s="83"/>
      <c r="O571" s="83"/>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7"/>
    </row>
    <row r="572" ht="15.75" customHeight="1">
      <c r="A572" s="6"/>
      <c r="B572" s="6"/>
      <c r="C572" s="6"/>
      <c r="D572" s="6"/>
      <c r="E572" s="6"/>
      <c r="F572" s="6"/>
      <c r="G572" s="83"/>
      <c r="H572" s="83"/>
      <c r="I572" s="83"/>
      <c r="J572" s="83"/>
      <c r="K572" s="83"/>
      <c r="L572" s="83"/>
      <c r="M572" s="6"/>
      <c r="N572" s="83"/>
      <c r="O572" s="83"/>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7"/>
    </row>
    <row r="573" ht="15.75" customHeight="1">
      <c r="A573" s="6"/>
      <c r="B573" s="6"/>
      <c r="C573" s="6"/>
      <c r="D573" s="6"/>
      <c r="E573" s="6"/>
      <c r="F573" s="6"/>
      <c r="G573" s="83"/>
      <c r="H573" s="83"/>
      <c r="I573" s="83"/>
      <c r="J573" s="83"/>
      <c r="K573" s="83"/>
      <c r="L573" s="83"/>
      <c r="M573" s="6"/>
      <c r="N573" s="83"/>
      <c r="O573" s="83"/>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7"/>
    </row>
    <row r="574" ht="15.75" customHeight="1">
      <c r="A574" s="6"/>
      <c r="B574" s="6"/>
      <c r="C574" s="6"/>
      <c r="D574" s="6"/>
      <c r="E574" s="6"/>
      <c r="F574" s="6"/>
      <c r="G574" s="83"/>
      <c r="H574" s="83"/>
      <c r="I574" s="83"/>
      <c r="J574" s="83"/>
      <c r="K574" s="83"/>
      <c r="L574" s="83"/>
      <c r="M574" s="6"/>
      <c r="N574" s="83"/>
      <c r="O574" s="83"/>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7"/>
    </row>
    <row r="575" ht="15.75" customHeight="1">
      <c r="A575" s="6"/>
      <c r="B575" s="6"/>
      <c r="C575" s="6"/>
      <c r="D575" s="6"/>
      <c r="E575" s="6"/>
      <c r="F575" s="6"/>
      <c r="G575" s="83"/>
      <c r="H575" s="83"/>
      <c r="I575" s="83"/>
      <c r="J575" s="83"/>
      <c r="K575" s="83"/>
      <c r="L575" s="83"/>
      <c r="M575" s="6"/>
      <c r="N575" s="83"/>
      <c r="O575" s="83"/>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7"/>
    </row>
    <row r="576" ht="15.75" customHeight="1">
      <c r="A576" s="6"/>
      <c r="B576" s="6"/>
      <c r="C576" s="6"/>
      <c r="D576" s="6"/>
      <c r="E576" s="6"/>
      <c r="F576" s="6"/>
      <c r="G576" s="83"/>
      <c r="H576" s="83"/>
      <c r="I576" s="83"/>
      <c r="J576" s="83"/>
      <c r="K576" s="83"/>
      <c r="L576" s="83"/>
      <c r="M576" s="6"/>
      <c r="N576" s="83"/>
      <c r="O576" s="83"/>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7"/>
    </row>
    <row r="577" ht="15.75" customHeight="1">
      <c r="A577" s="6"/>
      <c r="B577" s="6"/>
      <c r="C577" s="6"/>
      <c r="D577" s="6"/>
      <c r="E577" s="6"/>
      <c r="F577" s="6"/>
      <c r="G577" s="83"/>
      <c r="H577" s="83"/>
      <c r="I577" s="83"/>
      <c r="J577" s="83"/>
      <c r="K577" s="83"/>
      <c r="L577" s="83"/>
      <c r="M577" s="6"/>
      <c r="N577" s="83"/>
      <c r="O577" s="83"/>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7"/>
    </row>
    <row r="578" ht="15.75" customHeight="1">
      <c r="A578" s="6"/>
      <c r="B578" s="6"/>
      <c r="C578" s="6"/>
      <c r="D578" s="6"/>
      <c r="E578" s="6"/>
      <c r="F578" s="6"/>
      <c r="G578" s="83"/>
      <c r="H578" s="83"/>
      <c r="I578" s="83"/>
      <c r="J578" s="83"/>
      <c r="K578" s="83"/>
      <c r="L578" s="83"/>
      <c r="M578" s="6"/>
      <c r="N578" s="83"/>
      <c r="O578" s="83"/>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7"/>
    </row>
    <row r="579" ht="15.75" customHeight="1">
      <c r="A579" s="6"/>
      <c r="B579" s="6"/>
      <c r="C579" s="6"/>
      <c r="D579" s="6"/>
      <c r="E579" s="6"/>
      <c r="F579" s="6"/>
      <c r="G579" s="83"/>
      <c r="H579" s="83"/>
      <c r="I579" s="83"/>
      <c r="J579" s="83"/>
      <c r="K579" s="83"/>
      <c r="L579" s="83"/>
      <c r="M579" s="6"/>
      <c r="N579" s="83"/>
      <c r="O579" s="83"/>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7"/>
    </row>
    <row r="580" ht="15.75" customHeight="1">
      <c r="A580" s="6"/>
      <c r="B580" s="6"/>
      <c r="C580" s="6"/>
      <c r="D580" s="6"/>
      <c r="E580" s="6"/>
      <c r="F580" s="6"/>
      <c r="G580" s="83"/>
      <c r="H580" s="83"/>
      <c r="I580" s="83"/>
      <c r="J580" s="83"/>
      <c r="K580" s="83"/>
      <c r="L580" s="83"/>
      <c r="M580" s="6"/>
      <c r="N580" s="83"/>
      <c r="O580" s="83"/>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7"/>
    </row>
    <row r="581" ht="15.75" customHeight="1">
      <c r="A581" s="6"/>
      <c r="B581" s="6"/>
      <c r="C581" s="6"/>
      <c r="D581" s="6"/>
      <c r="E581" s="6"/>
      <c r="F581" s="6"/>
      <c r="G581" s="83"/>
      <c r="H581" s="83"/>
      <c r="I581" s="83"/>
      <c r="J581" s="83"/>
      <c r="K581" s="83"/>
      <c r="L581" s="83"/>
      <c r="M581" s="6"/>
      <c r="N581" s="83"/>
      <c r="O581" s="83"/>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7"/>
    </row>
    <row r="582" ht="15.75" customHeight="1">
      <c r="A582" s="6"/>
      <c r="B582" s="6"/>
      <c r="C582" s="6"/>
      <c r="D582" s="6"/>
      <c r="E582" s="6"/>
      <c r="F582" s="6"/>
      <c r="G582" s="83"/>
      <c r="H582" s="83"/>
      <c r="I582" s="83"/>
      <c r="J582" s="83"/>
      <c r="K582" s="83"/>
      <c r="L582" s="83"/>
      <c r="M582" s="6"/>
      <c r="N582" s="83"/>
      <c r="O582" s="83"/>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7"/>
    </row>
    <row r="583" ht="15.75" customHeight="1">
      <c r="A583" s="6"/>
      <c r="B583" s="6"/>
      <c r="C583" s="6"/>
      <c r="D583" s="6"/>
      <c r="E583" s="6"/>
      <c r="F583" s="6"/>
      <c r="G583" s="83"/>
      <c r="H583" s="83"/>
      <c r="I583" s="83"/>
      <c r="J583" s="83"/>
      <c r="K583" s="83"/>
      <c r="L583" s="83"/>
      <c r="M583" s="6"/>
      <c r="N583" s="83"/>
      <c r="O583" s="83"/>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7"/>
    </row>
    <row r="584" ht="15.75" customHeight="1">
      <c r="A584" s="6"/>
      <c r="B584" s="6"/>
      <c r="C584" s="6"/>
      <c r="D584" s="6"/>
      <c r="E584" s="6"/>
      <c r="F584" s="6"/>
      <c r="G584" s="83"/>
      <c r="H584" s="83"/>
      <c r="I584" s="83"/>
      <c r="J584" s="83"/>
      <c r="K584" s="83"/>
      <c r="L584" s="83"/>
      <c r="M584" s="6"/>
      <c r="N584" s="83"/>
      <c r="O584" s="83"/>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7"/>
    </row>
    <row r="585" ht="15.75" customHeight="1">
      <c r="A585" s="6"/>
      <c r="B585" s="6"/>
      <c r="C585" s="6"/>
      <c r="D585" s="6"/>
      <c r="E585" s="6"/>
      <c r="F585" s="6"/>
      <c r="G585" s="83"/>
      <c r="H585" s="83"/>
      <c r="I585" s="83"/>
      <c r="J585" s="83"/>
      <c r="K585" s="83"/>
      <c r="L585" s="83"/>
      <c r="M585" s="6"/>
      <c r="N585" s="83"/>
      <c r="O585" s="83"/>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7"/>
    </row>
    <row r="586" ht="15.75" customHeight="1">
      <c r="A586" s="6"/>
      <c r="B586" s="6"/>
      <c r="C586" s="6"/>
      <c r="D586" s="6"/>
      <c r="E586" s="6"/>
      <c r="F586" s="6"/>
      <c r="G586" s="83"/>
      <c r="H586" s="83"/>
      <c r="I586" s="83"/>
      <c r="J586" s="83"/>
      <c r="K586" s="83"/>
      <c r="L586" s="83"/>
      <c r="M586" s="6"/>
      <c r="N586" s="83"/>
      <c r="O586" s="83"/>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7"/>
    </row>
    <row r="587" ht="15.75" customHeight="1">
      <c r="A587" s="6"/>
      <c r="B587" s="6"/>
      <c r="C587" s="6"/>
      <c r="D587" s="6"/>
      <c r="E587" s="6"/>
      <c r="F587" s="6"/>
      <c r="G587" s="83"/>
      <c r="H587" s="83"/>
      <c r="I587" s="83"/>
      <c r="J587" s="83"/>
      <c r="K587" s="83"/>
      <c r="L587" s="83"/>
      <c r="M587" s="6"/>
      <c r="N587" s="83"/>
      <c r="O587" s="83"/>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7"/>
    </row>
    <row r="588" ht="15.75" customHeight="1">
      <c r="A588" s="6"/>
      <c r="B588" s="6"/>
      <c r="C588" s="6"/>
      <c r="D588" s="6"/>
      <c r="E588" s="6"/>
      <c r="F588" s="6"/>
      <c r="G588" s="83"/>
      <c r="H588" s="83"/>
      <c r="I588" s="83"/>
      <c r="J588" s="83"/>
      <c r="K588" s="83"/>
      <c r="L588" s="83"/>
      <c r="M588" s="6"/>
      <c r="N588" s="83"/>
      <c r="O588" s="83"/>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7"/>
    </row>
    <row r="589" ht="15.75" customHeight="1">
      <c r="A589" s="6"/>
      <c r="B589" s="6"/>
      <c r="C589" s="6"/>
      <c r="D589" s="6"/>
      <c r="E589" s="6"/>
      <c r="F589" s="6"/>
      <c r="G589" s="83"/>
      <c r="H589" s="83"/>
      <c r="I589" s="83"/>
      <c r="J589" s="83"/>
      <c r="K589" s="83"/>
      <c r="L589" s="83"/>
      <c r="M589" s="6"/>
      <c r="N589" s="83"/>
      <c r="O589" s="83"/>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7"/>
    </row>
    <row r="590" ht="15.75" customHeight="1">
      <c r="A590" s="6"/>
      <c r="B590" s="6"/>
      <c r="C590" s="6"/>
      <c r="D590" s="6"/>
      <c r="E590" s="6"/>
      <c r="F590" s="6"/>
      <c r="G590" s="83"/>
      <c r="H590" s="83"/>
      <c r="I590" s="83"/>
      <c r="J590" s="83"/>
      <c r="K590" s="83"/>
      <c r="L590" s="83"/>
      <c r="M590" s="6"/>
      <c r="N590" s="83"/>
      <c r="O590" s="83"/>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7"/>
    </row>
    <row r="591" ht="15.75" customHeight="1">
      <c r="A591" s="6"/>
      <c r="B591" s="6"/>
      <c r="C591" s="6"/>
      <c r="D591" s="6"/>
      <c r="E591" s="6"/>
      <c r="F591" s="6"/>
      <c r="G591" s="83"/>
      <c r="H591" s="83"/>
      <c r="I591" s="83"/>
      <c r="J591" s="83"/>
      <c r="K591" s="83"/>
      <c r="L591" s="83"/>
      <c r="M591" s="6"/>
      <c r="N591" s="83"/>
      <c r="O591" s="83"/>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7"/>
    </row>
    <row r="592" ht="15.75" customHeight="1">
      <c r="A592" s="6"/>
      <c r="B592" s="6"/>
      <c r="C592" s="6"/>
      <c r="D592" s="6"/>
      <c r="E592" s="6"/>
      <c r="F592" s="6"/>
      <c r="G592" s="83"/>
      <c r="H592" s="83"/>
      <c r="I592" s="83"/>
      <c r="J592" s="83"/>
      <c r="K592" s="83"/>
      <c r="L592" s="83"/>
      <c r="M592" s="6"/>
      <c r="N592" s="83"/>
      <c r="O592" s="83"/>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7"/>
    </row>
    <row r="593" ht="15.75" customHeight="1">
      <c r="A593" s="6"/>
      <c r="B593" s="6"/>
      <c r="C593" s="6"/>
      <c r="D593" s="6"/>
      <c r="E593" s="6"/>
      <c r="F593" s="6"/>
      <c r="G593" s="83"/>
      <c r="H593" s="83"/>
      <c r="I593" s="83"/>
      <c r="J593" s="83"/>
      <c r="K593" s="83"/>
      <c r="L593" s="83"/>
      <c r="M593" s="6"/>
      <c r="N593" s="83"/>
      <c r="O593" s="83"/>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7"/>
    </row>
    <row r="594" ht="15.75" customHeight="1">
      <c r="A594" s="6"/>
      <c r="B594" s="6"/>
      <c r="C594" s="6"/>
      <c r="D594" s="6"/>
      <c r="E594" s="6"/>
      <c r="F594" s="6"/>
      <c r="G594" s="83"/>
      <c r="H594" s="83"/>
      <c r="I594" s="83"/>
      <c r="J594" s="83"/>
      <c r="K594" s="83"/>
      <c r="L594" s="83"/>
      <c r="M594" s="6"/>
      <c r="N594" s="83"/>
      <c r="O594" s="83"/>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7"/>
    </row>
    <row r="595" ht="15.75" customHeight="1">
      <c r="A595" s="6"/>
      <c r="B595" s="6"/>
      <c r="C595" s="6"/>
      <c r="D595" s="6"/>
      <c r="E595" s="6"/>
      <c r="F595" s="6"/>
      <c r="G595" s="83"/>
      <c r="H595" s="83"/>
      <c r="I595" s="83"/>
      <c r="J595" s="83"/>
      <c r="K595" s="83"/>
      <c r="L595" s="83"/>
      <c r="M595" s="6"/>
      <c r="N595" s="83"/>
      <c r="O595" s="83"/>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7"/>
    </row>
    <row r="596" ht="15.75" customHeight="1">
      <c r="A596" s="6"/>
      <c r="B596" s="6"/>
      <c r="C596" s="6"/>
      <c r="D596" s="6"/>
      <c r="E596" s="6"/>
      <c r="F596" s="6"/>
      <c r="G596" s="83"/>
      <c r="H596" s="83"/>
      <c r="I596" s="83"/>
      <c r="J596" s="83"/>
      <c r="K596" s="83"/>
      <c r="L596" s="83"/>
      <c r="M596" s="6"/>
      <c r="N596" s="83"/>
      <c r="O596" s="83"/>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7"/>
    </row>
    <row r="597" ht="15.75" customHeight="1">
      <c r="A597" s="6"/>
      <c r="B597" s="6"/>
      <c r="C597" s="6"/>
      <c r="D597" s="6"/>
      <c r="E597" s="6"/>
      <c r="F597" s="6"/>
      <c r="G597" s="83"/>
      <c r="H597" s="83"/>
      <c r="I597" s="83"/>
      <c r="J597" s="83"/>
      <c r="K597" s="83"/>
      <c r="L597" s="83"/>
      <c r="M597" s="6"/>
      <c r="N597" s="83"/>
      <c r="O597" s="83"/>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7"/>
    </row>
    <row r="598" ht="15.75" customHeight="1">
      <c r="A598" s="6"/>
      <c r="B598" s="6"/>
      <c r="C598" s="6"/>
      <c r="D598" s="6"/>
      <c r="E598" s="6"/>
      <c r="F598" s="6"/>
      <c r="G598" s="83"/>
      <c r="H598" s="83"/>
      <c r="I598" s="83"/>
      <c r="J598" s="83"/>
      <c r="K598" s="83"/>
      <c r="L598" s="83"/>
      <c r="M598" s="6"/>
      <c r="N598" s="83"/>
      <c r="O598" s="83"/>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7"/>
    </row>
    <row r="599" ht="15.75" customHeight="1">
      <c r="A599" s="6"/>
      <c r="B599" s="6"/>
      <c r="C599" s="6"/>
      <c r="D599" s="6"/>
      <c r="E599" s="6"/>
      <c r="F599" s="6"/>
      <c r="G599" s="83"/>
      <c r="H599" s="83"/>
      <c r="I599" s="83"/>
      <c r="J599" s="83"/>
      <c r="K599" s="83"/>
      <c r="L599" s="83"/>
      <c r="M599" s="6"/>
      <c r="N599" s="83"/>
      <c r="O599" s="83"/>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7"/>
    </row>
    <row r="600" ht="15.75" customHeight="1">
      <c r="A600" s="6"/>
      <c r="B600" s="6"/>
      <c r="C600" s="6"/>
      <c r="D600" s="6"/>
      <c r="E600" s="6"/>
      <c r="F600" s="6"/>
      <c r="G600" s="83"/>
      <c r="H600" s="83"/>
      <c r="I600" s="83"/>
      <c r="J600" s="83"/>
      <c r="K600" s="83"/>
      <c r="L600" s="83"/>
      <c r="M600" s="6"/>
      <c r="N600" s="83"/>
      <c r="O600" s="83"/>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7"/>
    </row>
    <row r="601" ht="15.75" customHeight="1">
      <c r="A601" s="6"/>
      <c r="B601" s="6"/>
      <c r="C601" s="6"/>
      <c r="D601" s="6"/>
      <c r="E601" s="6"/>
      <c r="F601" s="6"/>
      <c r="G601" s="83"/>
      <c r="H601" s="83"/>
      <c r="I601" s="83"/>
      <c r="J601" s="83"/>
      <c r="K601" s="83"/>
      <c r="L601" s="83"/>
      <c r="M601" s="6"/>
      <c r="N601" s="83"/>
      <c r="O601" s="83"/>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7"/>
    </row>
    <row r="602" ht="15.75" customHeight="1">
      <c r="A602" s="6"/>
      <c r="B602" s="6"/>
      <c r="C602" s="6"/>
      <c r="D602" s="6"/>
      <c r="E602" s="6"/>
      <c r="F602" s="6"/>
      <c r="G602" s="83"/>
      <c r="H602" s="83"/>
      <c r="I602" s="83"/>
      <c r="J602" s="83"/>
      <c r="K602" s="83"/>
      <c r="L602" s="83"/>
      <c r="M602" s="6"/>
      <c r="N602" s="83"/>
      <c r="O602" s="83"/>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7"/>
    </row>
    <row r="603" ht="15.75" customHeight="1">
      <c r="A603" s="6"/>
      <c r="B603" s="6"/>
      <c r="C603" s="6"/>
      <c r="D603" s="6"/>
      <c r="E603" s="6"/>
      <c r="F603" s="6"/>
      <c r="G603" s="83"/>
      <c r="H603" s="83"/>
      <c r="I603" s="83"/>
      <c r="J603" s="83"/>
      <c r="K603" s="83"/>
      <c r="L603" s="83"/>
      <c r="M603" s="6"/>
      <c r="N603" s="83"/>
      <c r="O603" s="83"/>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7"/>
    </row>
    <row r="604" ht="15.75" customHeight="1">
      <c r="A604" s="6"/>
      <c r="B604" s="6"/>
      <c r="C604" s="6"/>
      <c r="D604" s="6"/>
      <c r="E604" s="6"/>
      <c r="F604" s="6"/>
      <c r="G604" s="83"/>
      <c r="H604" s="83"/>
      <c r="I604" s="83"/>
      <c r="J604" s="83"/>
      <c r="K604" s="83"/>
      <c r="L604" s="83"/>
      <c r="M604" s="6"/>
      <c r="N604" s="83"/>
      <c r="O604" s="83"/>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7"/>
    </row>
    <row r="605" ht="15.75" customHeight="1">
      <c r="A605" s="6"/>
      <c r="B605" s="6"/>
      <c r="C605" s="6"/>
      <c r="D605" s="6"/>
      <c r="E605" s="6"/>
      <c r="F605" s="6"/>
      <c r="G605" s="83"/>
      <c r="H605" s="83"/>
      <c r="I605" s="83"/>
      <c r="J605" s="83"/>
      <c r="K605" s="83"/>
      <c r="L605" s="83"/>
      <c r="M605" s="6"/>
      <c r="N605" s="83"/>
      <c r="O605" s="83"/>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7"/>
    </row>
    <row r="606" ht="15.75" customHeight="1">
      <c r="A606" s="6"/>
      <c r="B606" s="6"/>
      <c r="C606" s="6"/>
      <c r="D606" s="6"/>
      <c r="E606" s="6"/>
      <c r="F606" s="6"/>
      <c r="G606" s="83"/>
      <c r="H606" s="83"/>
      <c r="I606" s="83"/>
      <c r="J606" s="83"/>
      <c r="K606" s="83"/>
      <c r="L606" s="83"/>
      <c r="M606" s="6"/>
      <c r="N606" s="83"/>
      <c r="O606" s="83"/>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7"/>
    </row>
    <row r="607" ht="15.75" customHeight="1">
      <c r="A607" s="6"/>
      <c r="B607" s="6"/>
      <c r="C607" s="6"/>
      <c r="D607" s="6"/>
      <c r="E607" s="6"/>
      <c r="F607" s="6"/>
      <c r="G607" s="83"/>
      <c r="H607" s="83"/>
      <c r="I607" s="83"/>
      <c r="J607" s="83"/>
      <c r="K607" s="83"/>
      <c r="L607" s="83"/>
      <c r="M607" s="6"/>
      <c r="N607" s="83"/>
      <c r="O607" s="83"/>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7"/>
    </row>
    <row r="608" ht="15.75" customHeight="1">
      <c r="A608" s="6"/>
      <c r="B608" s="6"/>
      <c r="C608" s="6"/>
      <c r="D608" s="6"/>
      <c r="E608" s="6"/>
      <c r="F608" s="6"/>
      <c r="G608" s="83"/>
      <c r="H608" s="83"/>
      <c r="I608" s="83"/>
      <c r="J608" s="83"/>
      <c r="K608" s="83"/>
      <c r="L608" s="83"/>
      <c r="M608" s="6"/>
      <c r="N608" s="83"/>
      <c r="O608" s="83"/>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7"/>
    </row>
    <row r="609" ht="15.75" customHeight="1">
      <c r="A609" s="6"/>
      <c r="B609" s="6"/>
      <c r="C609" s="6"/>
      <c r="D609" s="6"/>
      <c r="E609" s="6"/>
      <c r="F609" s="6"/>
      <c r="G609" s="83"/>
      <c r="H609" s="83"/>
      <c r="I609" s="83"/>
      <c r="J609" s="83"/>
      <c r="K609" s="83"/>
      <c r="L609" s="83"/>
      <c r="M609" s="6"/>
      <c r="N609" s="83"/>
      <c r="O609" s="83"/>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7"/>
    </row>
    <row r="610" ht="15.75" customHeight="1">
      <c r="A610" s="6"/>
      <c r="B610" s="6"/>
      <c r="C610" s="6"/>
      <c r="D610" s="6"/>
      <c r="E610" s="6"/>
      <c r="F610" s="6"/>
      <c r="G610" s="83"/>
      <c r="H610" s="83"/>
      <c r="I610" s="83"/>
      <c r="J610" s="83"/>
      <c r="K610" s="83"/>
      <c r="L610" s="83"/>
      <c r="M610" s="6"/>
      <c r="N610" s="83"/>
      <c r="O610" s="83"/>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7"/>
    </row>
    <row r="611" ht="15.75" customHeight="1">
      <c r="A611" s="6"/>
      <c r="B611" s="6"/>
      <c r="C611" s="6"/>
      <c r="D611" s="6"/>
      <c r="E611" s="6"/>
      <c r="F611" s="6"/>
      <c r="G611" s="83"/>
      <c r="H611" s="83"/>
      <c r="I611" s="83"/>
      <c r="J611" s="83"/>
      <c r="K611" s="83"/>
      <c r="L611" s="83"/>
      <c r="M611" s="6"/>
      <c r="N611" s="83"/>
      <c r="O611" s="83"/>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7"/>
    </row>
    <row r="612" ht="15.75" customHeight="1">
      <c r="A612" s="6"/>
      <c r="B612" s="6"/>
      <c r="C612" s="6"/>
      <c r="D612" s="6"/>
      <c r="E612" s="6"/>
      <c r="F612" s="6"/>
      <c r="G612" s="83"/>
      <c r="H612" s="83"/>
      <c r="I612" s="83"/>
      <c r="J612" s="83"/>
      <c r="K612" s="83"/>
      <c r="L612" s="83"/>
      <c r="M612" s="6"/>
      <c r="N612" s="83"/>
      <c r="O612" s="83"/>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7"/>
    </row>
    <row r="613" ht="15.75" customHeight="1">
      <c r="A613" s="6"/>
      <c r="B613" s="6"/>
      <c r="C613" s="6"/>
      <c r="D613" s="6"/>
      <c r="E613" s="6"/>
      <c r="F613" s="6"/>
      <c r="G613" s="83"/>
      <c r="H613" s="83"/>
      <c r="I613" s="83"/>
      <c r="J613" s="83"/>
      <c r="K613" s="83"/>
      <c r="L613" s="83"/>
      <c r="M613" s="6"/>
      <c r="N613" s="83"/>
      <c r="O613" s="83"/>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7"/>
    </row>
    <row r="614" ht="15.75" customHeight="1">
      <c r="A614" s="6"/>
      <c r="B614" s="6"/>
      <c r="C614" s="6"/>
      <c r="D614" s="6"/>
      <c r="E614" s="6"/>
      <c r="F614" s="6"/>
      <c r="G614" s="83"/>
      <c r="H614" s="83"/>
      <c r="I614" s="83"/>
      <c r="J614" s="83"/>
      <c r="K614" s="83"/>
      <c r="L614" s="83"/>
      <c r="M614" s="6"/>
      <c r="N614" s="83"/>
      <c r="O614" s="83"/>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7"/>
    </row>
    <row r="615" ht="15.75" customHeight="1">
      <c r="A615" s="6"/>
      <c r="B615" s="6"/>
      <c r="C615" s="6"/>
      <c r="D615" s="6"/>
      <c r="E615" s="6"/>
      <c r="F615" s="6"/>
      <c r="G615" s="83"/>
      <c r="H615" s="83"/>
      <c r="I615" s="83"/>
      <c r="J615" s="83"/>
      <c r="K615" s="83"/>
      <c r="L615" s="83"/>
      <c r="M615" s="6"/>
      <c r="N615" s="83"/>
      <c r="O615" s="83"/>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7"/>
    </row>
    <row r="616" ht="15.75" customHeight="1">
      <c r="A616" s="6"/>
      <c r="B616" s="6"/>
      <c r="C616" s="6"/>
      <c r="D616" s="6"/>
      <c r="E616" s="6"/>
      <c r="F616" s="6"/>
      <c r="G616" s="83"/>
      <c r="H616" s="83"/>
      <c r="I616" s="83"/>
      <c r="J616" s="83"/>
      <c r="K616" s="83"/>
      <c r="L616" s="83"/>
      <c r="M616" s="6"/>
      <c r="N616" s="83"/>
      <c r="O616" s="83"/>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7"/>
    </row>
    <row r="617" ht="15.75" customHeight="1">
      <c r="A617" s="6"/>
      <c r="B617" s="6"/>
      <c r="C617" s="6"/>
      <c r="D617" s="6"/>
      <c r="E617" s="6"/>
      <c r="F617" s="6"/>
      <c r="G617" s="83"/>
      <c r="H617" s="83"/>
      <c r="I617" s="83"/>
      <c r="J617" s="83"/>
      <c r="K617" s="83"/>
      <c r="L617" s="83"/>
      <c r="M617" s="6"/>
      <c r="N617" s="83"/>
      <c r="O617" s="83"/>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7"/>
    </row>
    <row r="618" ht="15.75" customHeight="1">
      <c r="A618" s="6"/>
      <c r="B618" s="6"/>
      <c r="C618" s="6"/>
      <c r="D618" s="6"/>
      <c r="E618" s="6"/>
      <c r="F618" s="6"/>
      <c r="G618" s="83"/>
      <c r="H618" s="83"/>
      <c r="I618" s="83"/>
      <c r="J618" s="83"/>
      <c r="K618" s="83"/>
      <c r="L618" s="83"/>
      <c r="M618" s="6"/>
      <c r="N618" s="83"/>
      <c r="O618" s="83"/>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7"/>
    </row>
    <row r="619" ht="15.75" customHeight="1">
      <c r="A619" s="6"/>
      <c r="B619" s="6"/>
      <c r="C619" s="6"/>
      <c r="D619" s="6"/>
      <c r="E619" s="6"/>
      <c r="F619" s="6"/>
      <c r="G619" s="83"/>
      <c r="H619" s="83"/>
      <c r="I619" s="83"/>
      <c r="J619" s="83"/>
      <c r="K619" s="83"/>
      <c r="L619" s="83"/>
      <c r="M619" s="6"/>
      <c r="N619" s="83"/>
      <c r="O619" s="83"/>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7"/>
    </row>
    <row r="620" ht="15.75" customHeight="1">
      <c r="A620" s="6"/>
      <c r="B620" s="6"/>
      <c r="C620" s="6"/>
      <c r="D620" s="6"/>
      <c r="E620" s="6"/>
      <c r="F620" s="6"/>
      <c r="G620" s="83"/>
      <c r="H620" s="83"/>
      <c r="I620" s="83"/>
      <c r="J620" s="83"/>
      <c r="K620" s="83"/>
      <c r="L620" s="83"/>
      <c r="M620" s="6"/>
      <c r="N620" s="83"/>
      <c r="O620" s="83"/>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7"/>
    </row>
    <row r="621" ht="15.75" customHeight="1">
      <c r="A621" s="6"/>
      <c r="B621" s="6"/>
      <c r="C621" s="6"/>
      <c r="D621" s="6"/>
      <c r="E621" s="6"/>
      <c r="F621" s="6"/>
      <c r="G621" s="83"/>
      <c r="H621" s="83"/>
      <c r="I621" s="83"/>
      <c r="J621" s="83"/>
      <c r="K621" s="83"/>
      <c r="L621" s="83"/>
      <c r="M621" s="6"/>
      <c r="N621" s="83"/>
      <c r="O621" s="83"/>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7"/>
    </row>
    <row r="622" ht="15.75" customHeight="1">
      <c r="A622" s="6"/>
      <c r="B622" s="6"/>
      <c r="C622" s="6"/>
      <c r="D622" s="6"/>
      <c r="E622" s="6"/>
      <c r="F622" s="6"/>
      <c r="G622" s="83"/>
      <c r="H622" s="83"/>
      <c r="I622" s="83"/>
      <c r="J622" s="83"/>
      <c r="K622" s="83"/>
      <c r="L622" s="83"/>
      <c r="M622" s="6"/>
      <c r="N622" s="83"/>
      <c r="O622" s="83"/>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7"/>
    </row>
    <row r="623" ht="15.75" customHeight="1">
      <c r="A623" s="6"/>
      <c r="B623" s="6"/>
      <c r="C623" s="6"/>
      <c r="D623" s="6"/>
      <c r="E623" s="6"/>
      <c r="F623" s="6"/>
      <c r="G623" s="83"/>
      <c r="H623" s="83"/>
      <c r="I623" s="83"/>
      <c r="J623" s="83"/>
      <c r="K623" s="83"/>
      <c r="L623" s="83"/>
      <c r="M623" s="6"/>
      <c r="N623" s="83"/>
      <c r="O623" s="83"/>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7"/>
    </row>
    <row r="624" ht="15.75" customHeight="1">
      <c r="A624" s="6"/>
      <c r="B624" s="6"/>
      <c r="C624" s="6"/>
      <c r="D624" s="6"/>
      <c r="E624" s="6"/>
      <c r="F624" s="6"/>
      <c r="G624" s="83"/>
      <c r="H624" s="83"/>
      <c r="I624" s="83"/>
      <c r="J624" s="83"/>
      <c r="K624" s="83"/>
      <c r="L624" s="83"/>
      <c r="M624" s="6"/>
      <c r="N624" s="83"/>
      <c r="O624" s="83"/>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7"/>
    </row>
    <row r="625" ht="15.75" customHeight="1">
      <c r="A625" s="6"/>
      <c r="B625" s="6"/>
      <c r="C625" s="6"/>
      <c r="D625" s="6"/>
      <c r="E625" s="6"/>
      <c r="F625" s="6"/>
      <c r="G625" s="83"/>
      <c r="H625" s="83"/>
      <c r="I625" s="83"/>
      <c r="J625" s="83"/>
      <c r="K625" s="83"/>
      <c r="L625" s="83"/>
      <c r="M625" s="6"/>
      <c r="N625" s="83"/>
      <c r="O625" s="83"/>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7"/>
    </row>
    <row r="626" ht="15.75" customHeight="1">
      <c r="A626" s="6"/>
      <c r="B626" s="6"/>
      <c r="C626" s="6"/>
      <c r="D626" s="6"/>
      <c r="E626" s="6"/>
      <c r="F626" s="6"/>
      <c r="G626" s="83"/>
      <c r="H626" s="83"/>
      <c r="I626" s="83"/>
      <c r="J626" s="83"/>
      <c r="K626" s="83"/>
      <c r="L626" s="83"/>
      <c r="M626" s="6"/>
      <c r="N626" s="83"/>
      <c r="O626" s="83"/>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7"/>
    </row>
    <row r="627" ht="15.75" customHeight="1">
      <c r="A627" s="6"/>
      <c r="B627" s="6"/>
      <c r="C627" s="6"/>
      <c r="D627" s="6"/>
      <c r="E627" s="6"/>
      <c r="F627" s="6"/>
      <c r="G627" s="83"/>
      <c r="H627" s="83"/>
      <c r="I627" s="83"/>
      <c r="J627" s="83"/>
      <c r="K627" s="83"/>
      <c r="L627" s="83"/>
      <c r="M627" s="6"/>
      <c r="N627" s="83"/>
      <c r="O627" s="83"/>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7"/>
    </row>
    <row r="628" ht="15.75" customHeight="1">
      <c r="A628" s="6"/>
      <c r="B628" s="6"/>
      <c r="C628" s="6"/>
      <c r="D628" s="6"/>
      <c r="E628" s="6"/>
      <c r="F628" s="6"/>
      <c r="G628" s="83"/>
      <c r="H628" s="83"/>
      <c r="I628" s="83"/>
      <c r="J628" s="83"/>
      <c r="K628" s="83"/>
      <c r="L628" s="83"/>
      <c r="M628" s="6"/>
      <c r="N628" s="83"/>
      <c r="O628" s="83"/>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7"/>
    </row>
    <row r="629" ht="15.75" customHeight="1">
      <c r="A629" s="6"/>
      <c r="B629" s="6"/>
      <c r="C629" s="6"/>
      <c r="D629" s="6"/>
      <c r="E629" s="6"/>
      <c r="F629" s="6"/>
      <c r="G629" s="83"/>
      <c r="H629" s="83"/>
      <c r="I629" s="83"/>
      <c r="J629" s="83"/>
      <c r="K629" s="83"/>
      <c r="L629" s="83"/>
      <c r="M629" s="6"/>
      <c r="N629" s="83"/>
      <c r="O629" s="83"/>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7"/>
    </row>
    <row r="630" ht="15.75" customHeight="1">
      <c r="A630" s="6"/>
      <c r="B630" s="6"/>
      <c r="C630" s="6"/>
      <c r="D630" s="6"/>
      <c r="E630" s="6"/>
      <c r="F630" s="6"/>
      <c r="G630" s="83"/>
      <c r="H630" s="83"/>
      <c r="I630" s="83"/>
      <c r="J630" s="83"/>
      <c r="K630" s="83"/>
      <c r="L630" s="83"/>
      <c r="M630" s="6"/>
      <c r="N630" s="83"/>
      <c r="O630" s="83"/>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7"/>
    </row>
    <row r="631" ht="15.75" customHeight="1">
      <c r="A631" s="6"/>
      <c r="B631" s="6"/>
      <c r="C631" s="6"/>
      <c r="D631" s="6"/>
      <c r="E631" s="6"/>
      <c r="F631" s="6"/>
      <c r="G631" s="83"/>
      <c r="H631" s="83"/>
      <c r="I631" s="83"/>
      <c r="J631" s="83"/>
      <c r="K631" s="83"/>
      <c r="L631" s="83"/>
      <c r="M631" s="6"/>
      <c r="N631" s="83"/>
      <c r="O631" s="83"/>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7"/>
    </row>
    <row r="632" ht="15.75" customHeight="1">
      <c r="A632" s="6"/>
      <c r="B632" s="6"/>
      <c r="C632" s="6"/>
      <c r="D632" s="6"/>
      <c r="E632" s="6"/>
      <c r="F632" s="6"/>
      <c r="G632" s="83"/>
      <c r="H632" s="83"/>
      <c r="I632" s="83"/>
      <c r="J632" s="83"/>
      <c r="K632" s="83"/>
      <c r="L632" s="83"/>
      <c r="M632" s="6"/>
      <c r="N632" s="83"/>
      <c r="O632" s="83"/>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7"/>
    </row>
    <row r="633" ht="15.75" customHeight="1">
      <c r="A633" s="6"/>
      <c r="B633" s="6"/>
      <c r="C633" s="6"/>
      <c r="D633" s="6"/>
      <c r="E633" s="6"/>
      <c r="F633" s="6"/>
      <c r="G633" s="83"/>
      <c r="H633" s="83"/>
      <c r="I633" s="83"/>
      <c r="J633" s="83"/>
      <c r="K633" s="83"/>
      <c r="L633" s="83"/>
      <c r="M633" s="6"/>
      <c r="N633" s="83"/>
      <c r="O633" s="83"/>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7"/>
    </row>
    <row r="634" ht="15.75" customHeight="1">
      <c r="A634" s="6"/>
      <c r="B634" s="6"/>
      <c r="C634" s="6"/>
      <c r="D634" s="6"/>
      <c r="E634" s="6"/>
      <c r="F634" s="6"/>
      <c r="G634" s="83"/>
      <c r="H634" s="83"/>
      <c r="I634" s="83"/>
      <c r="J634" s="83"/>
      <c r="K634" s="83"/>
      <c r="L634" s="83"/>
      <c r="M634" s="6"/>
      <c r="N634" s="83"/>
      <c r="O634" s="83"/>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7"/>
    </row>
    <row r="635" ht="15.75" customHeight="1">
      <c r="A635" s="6"/>
      <c r="B635" s="6"/>
      <c r="C635" s="6"/>
      <c r="D635" s="6"/>
      <c r="E635" s="6"/>
      <c r="F635" s="6"/>
      <c r="G635" s="83"/>
      <c r="H635" s="83"/>
      <c r="I635" s="83"/>
      <c r="J635" s="83"/>
      <c r="K635" s="83"/>
      <c r="L635" s="83"/>
      <c r="M635" s="6"/>
      <c r="N635" s="83"/>
      <c r="O635" s="83"/>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7"/>
    </row>
    <row r="636" ht="15.75" customHeight="1">
      <c r="A636" s="6"/>
      <c r="B636" s="6"/>
      <c r="C636" s="6"/>
      <c r="D636" s="6"/>
      <c r="E636" s="6"/>
      <c r="F636" s="6"/>
      <c r="G636" s="83"/>
      <c r="H636" s="83"/>
      <c r="I636" s="83"/>
      <c r="J636" s="83"/>
      <c r="K636" s="83"/>
      <c r="L636" s="83"/>
      <c r="M636" s="6"/>
      <c r="N636" s="83"/>
      <c r="O636" s="83"/>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7"/>
    </row>
    <row r="637" ht="15.75" customHeight="1">
      <c r="A637" s="6"/>
      <c r="B637" s="6"/>
      <c r="C637" s="6"/>
      <c r="D637" s="6"/>
      <c r="E637" s="6"/>
      <c r="F637" s="6"/>
      <c r="G637" s="83"/>
      <c r="H637" s="83"/>
      <c r="I637" s="83"/>
      <c r="J637" s="83"/>
      <c r="K637" s="83"/>
      <c r="L637" s="83"/>
      <c r="M637" s="6"/>
      <c r="N637" s="83"/>
      <c r="O637" s="83"/>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7"/>
    </row>
    <row r="638" ht="15.75" customHeight="1">
      <c r="A638" s="6"/>
      <c r="B638" s="6"/>
      <c r="C638" s="6"/>
      <c r="D638" s="6"/>
      <c r="E638" s="6"/>
      <c r="F638" s="6"/>
      <c r="G638" s="83"/>
      <c r="H638" s="83"/>
      <c r="I638" s="83"/>
      <c r="J638" s="83"/>
      <c r="K638" s="83"/>
      <c r="L638" s="83"/>
      <c r="M638" s="6"/>
      <c r="N638" s="83"/>
      <c r="O638" s="83"/>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7"/>
    </row>
    <row r="639" ht="15.75" customHeight="1">
      <c r="A639" s="6"/>
      <c r="B639" s="6"/>
      <c r="C639" s="6"/>
      <c r="D639" s="6"/>
      <c r="E639" s="6"/>
      <c r="F639" s="6"/>
      <c r="G639" s="83"/>
      <c r="H639" s="83"/>
      <c r="I639" s="83"/>
      <c r="J639" s="83"/>
      <c r="K639" s="83"/>
      <c r="L639" s="83"/>
      <c r="M639" s="6"/>
      <c r="N639" s="83"/>
      <c r="O639" s="83"/>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7"/>
    </row>
    <row r="640" ht="15.75" customHeight="1">
      <c r="A640" s="6"/>
      <c r="B640" s="6"/>
      <c r="C640" s="6"/>
      <c r="D640" s="6"/>
      <c r="E640" s="6"/>
      <c r="F640" s="6"/>
      <c r="G640" s="83"/>
      <c r="H640" s="83"/>
      <c r="I640" s="83"/>
      <c r="J640" s="83"/>
      <c r="K640" s="83"/>
      <c r="L640" s="83"/>
      <c r="M640" s="6"/>
      <c r="N640" s="83"/>
      <c r="O640" s="83"/>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7"/>
    </row>
    <row r="641" ht="15.75" customHeight="1">
      <c r="A641" s="6"/>
      <c r="B641" s="6"/>
      <c r="C641" s="6"/>
      <c r="D641" s="6"/>
      <c r="E641" s="6"/>
      <c r="F641" s="6"/>
      <c r="G641" s="83"/>
      <c r="H641" s="83"/>
      <c r="I641" s="83"/>
      <c r="J641" s="83"/>
      <c r="K641" s="83"/>
      <c r="L641" s="83"/>
      <c r="M641" s="6"/>
      <c r="N641" s="83"/>
      <c r="O641" s="83"/>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7"/>
    </row>
    <row r="642" ht="15.75" customHeight="1">
      <c r="A642" s="6"/>
      <c r="B642" s="6"/>
      <c r="C642" s="6"/>
      <c r="D642" s="6"/>
      <c r="E642" s="6"/>
      <c r="F642" s="6"/>
      <c r="G642" s="83"/>
      <c r="H642" s="83"/>
      <c r="I642" s="83"/>
      <c r="J642" s="83"/>
      <c r="K642" s="83"/>
      <c r="L642" s="83"/>
      <c r="M642" s="6"/>
      <c r="N642" s="83"/>
      <c r="O642" s="83"/>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7"/>
    </row>
    <row r="643" ht="15.75" customHeight="1">
      <c r="A643" s="6"/>
      <c r="B643" s="6"/>
      <c r="C643" s="6"/>
      <c r="D643" s="6"/>
      <c r="E643" s="6"/>
      <c r="F643" s="6"/>
      <c r="G643" s="83"/>
      <c r="H643" s="83"/>
      <c r="I643" s="83"/>
      <c r="J643" s="83"/>
      <c r="K643" s="83"/>
      <c r="L643" s="83"/>
      <c r="M643" s="6"/>
      <c r="N643" s="83"/>
      <c r="O643" s="83"/>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7"/>
    </row>
    <row r="644" ht="15.75" customHeight="1">
      <c r="A644" s="6"/>
      <c r="B644" s="6"/>
      <c r="C644" s="6"/>
      <c r="D644" s="6"/>
      <c r="E644" s="6"/>
      <c r="F644" s="6"/>
      <c r="G644" s="83"/>
      <c r="H644" s="83"/>
      <c r="I644" s="83"/>
      <c r="J644" s="83"/>
      <c r="K644" s="83"/>
      <c r="L644" s="83"/>
      <c r="M644" s="6"/>
      <c r="N644" s="83"/>
      <c r="O644" s="83"/>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7"/>
    </row>
    <row r="645" ht="15.75" customHeight="1">
      <c r="A645" s="6"/>
      <c r="B645" s="6"/>
      <c r="C645" s="6"/>
      <c r="D645" s="6"/>
      <c r="E645" s="6"/>
      <c r="F645" s="6"/>
      <c r="G645" s="83"/>
      <c r="H645" s="83"/>
      <c r="I645" s="83"/>
      <c r="J645" s="83"/>
      <c r="K645" s="83"/>
      <c r="L645" s="83"/>
      <c r="M645" s="6"/>
      <c r="N645" s="83"/>
      <c r="O645" s="83"/>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7"/>
    </row>
    <row r="646" ht="15.75" customHeight="1">
      <c r="A646" s="6"/>
      <c r="B646" s="6"/>
      <c r="C646" s="6"/>
      <c r="D646" s="6"/>
      <c r="E646" s="6"/>
      <c r="F646" s="6"/>
      <c r="G646" s="83"/>
      <c r="H646" s="83"/>
      <c r="I646" s="83"/>
      <c r="J646" s="83"/>
      <c r="K646" s="83"/>
      <c r="L646" s="83"/>
      <c r="M646" s="6"/>
      <c r="N646" s="83"/>
      <c r="O646" s="83"/>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7"/>
    </row>
    <row r="647" ht="15.75" customHeight="1">
      <c r="A647" s="6"/>
      <c r="B647" s="6"/>
      <c r="C647" s="6"/>
      <c r="D647" s="6"/>
      <c r="E647" s="6"/>
      <c r="F647" s="6"/>
      <c r="G647" s="83"/>
      <c r="H647" s="83"/>
      <c r="I647" s="83"/>
      <c r="J647" s="83"/>
      <c r="K647" s="83"/>
      <c r="L647" s="83"/>
      <c r="M647" s="6"/>
      <c r="N647" s="83"/>
      <c r="O647" s="83"/>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7"/>
    </row>
    <row r="648" ht="15.75" customHeight="1">
      <c r="A648" s="6"/>
      <c r="B648" s="6"/>
      <c r="C648" s="6"/>
      <c r="D648" s="6"/>
      <c r="E648" s="6"/>
      <c r="F648" s="6"/>
      <c r="G648" s="83"/>
      <c r="H648" s="83"/>
      <c r="I648" s="83"/>
      <c r="J648" s="83"/>
      <c r="K648" s="83"/>
      <c r="L648" s="83"/>
      <c r="M648" s="6"/>
      <c r="N648" s="83"/>
      <c r="O648" s="83"/>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7"/>
    </row>
    <row r="649" ht="15.75" customHeight="1">
      <c r="A649" s="6"/>
      <c r="B649" s="6"/>
      <c r="C649" s="6"/>
      <c r="D649" s="6"/>
      <c r="E649" s="6"/>
      <c r="F649" s="6"/>
      <c r="G649" s="83"/>
      <c r="H649" s="83"/>
      <c r="I649" s="83"/>
      <c r="J649" s="83"/>
      <c r="K649" s="83"/>
      <c r="L649" s="83"/>
      <c r="M649" s="6"/>
      <c r="N649" s="83"/>
      <c r="O649" s="83"/>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7"/>
    </row>
    <row r="650" ht="15.75" customHeight="1">
      <c r="A650" s="6"/>
      <c r="B650" s="6"/>
      <c r="C650" s="6"/>
      <c r="D650" s="6"/>
      <c r="E650" s="6"/>
      <c r="F650" s="6"/>
      <c r="G650" s="83"/>
      <c r="H650" s="83"/>
      <c r="I650" s="83"/>
      <c r="J650" s="83"/>
      <c r="K650" s="83"/>
      <c r="L650" s="83"/>
      <c r="M650" s="6"/>
      <c r="N650" s="83"/>
      <c r="O650" s="83"/>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7"/>
    </row>
    <row r="651" ht="15.75" customHeight="1">
      <c r="A651" s="6"/>
      <c r="B651" s="6"/>
      <c r="C651" s="6"/>
      <c r="D651" s="6"/>
      <c r="E651" s="6"/>
      <c r="F651" s="6"/>
      <c r="G651" s="83"/>
      <c r="H651" s="83"/>
      <c r="I651" s="83"/>
      <c r="J651" s="83"/>
      <c r="K651" s="83"/>
      <c r="L651" s="83"/>
      <c r="M651" s="6"/>
      <c r="N651" s="83"/>
      <c r="O651" s="83"/>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7"/>
    </row>
    <row r="652" ht="15.75" customHeight="1">
      <c r="A652" s="6"/>
      <c r="B652" s="6"/>
      <c r="C652" s="6"/>
      <c r="D652" s="6"/>
      <c r="E652" s="6"/>
      <c r="F652" s="6"/>
      <c r="G652" s="83"/>
      <c r="H652" s="83"/>
      <c r="I652" s="83"/>
      <c r="J652" s="83"/>
      <c r="K652" s="83"/>
      <c r="L652" s="83"/>
      <c r="M652" s="6"/>
      <c r="N652" s="83"/>
      <c r="O652" s="83"/>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7"/>
    </row>
    <row r="653" ht="15.75" customHeight="1">
      <c r="A653" s="6"/>
      <c r="B653" s="6"/>
      <c r="C653" s="6"/>
      <c r="D653" s="6"/>
      <c r="E653" s="6"/>
      <c r="F653" s="6"/>
      <c r="G653" s="83"/>
      <c r="H653" s="83"/>
      <c r="I653" s="83"/>
      <c r="J653" s="83"/>
      <c r="K653" s="83"/>
      <c r="L653" s="83"/>
      <c r="M653" s="6"/>
      <c r="N653" s="83"/>
      <c r="O653" s="83"/>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7"/>
    </row>
    <row r="654" ht="15.75" customHeight="1">
      <c r="A654" s="6"/>
      <c r="B654" s="6"/>
      <c r="C654" s="6"/>
      <c r="D654" s="6"/>
      <c r="E654" s="6"/>
      <c r="F654" s="6"/>
      <c r="G654" s="83"/>
      <c r="H654" s="83"/>
      <c r="I654" s="83"/>
      <c r="J654" s="83"/>
      <c r="K654" s="83"/>
      <c r="L654" s="83"/>
      <c r="M654" s="6"/>
      <c r="N654" s="83"/>
      <c r="O654" s="83"/>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7"/>
    </row>
    <row r="655" ht="15.75" customHeight="1">
      <c r="A655" s="6"/>
      <c r="B655" s="6"/>
      <c r="C655" s="6"/>
      <c r="D655" s="6"/>
      <c r="E655" s="6"/>
      <c r="F655" s="6"/>
      <c r="G655" s="83"/>
      <c r="H655" s="83"/>
      <c r="I655" s="83"/>
      <c r="J655" s="83"/>
      <c r="K655" s="83"/>
      <c r="L655" s="83"/>
      <c r="M655" s="6"/>
      <c r="N655" s="83"/>
      <c r="O655" s="83"/>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7"/>
    </row>
    <row r="656" ht="15.75" customHeight="1">
      <c r="A656" s="6"/>
      <c r="B656" s="6"/>
      <c r="C656" s="6"/>
      <c r="D656" s="6"/>
      <c r="E656" s="6"/>
      <c r="F656" s="6"/>
      <c r="G656" s="83"/>
      <c r="H656" s="83"/>
      <c r="I656" s="83"/>
      <c r="J656" s="83"/>
      <c r="K656" s="83"/>
      <c r="L656" s="83"/>
      <c r="M656" s="6"/>
      <c r="N656" s="83"/>
      <c r="O656" s="83"/>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7"/>
    </row>
    <row r="657" ht="15.75" customHeight="1">
      <c r="A657" s="6"/>
      <c r="B657" s="6"/>
      <c r="C657" s="6"/>
      <c r="D657" s="6"/>
      <c r="E657" s="6"/>
      <c r="F657" s="6"/>
      <c r="G657" s="83"/>
      <c r="H657" s="83"/>
      <c r="I657" s="83"/>
      <c r="J657" s="83"/>
      <c r="K657" s="83"/>
      <c r="L657" s="83"/>
      <c r="M657" s="6"/>
      <c r="N657" s="83"/>
      <c r="O657" s="83"/>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7"/>
    </row>
    <row r="658" ht="15.75" customHeight="1">
      <c r="A658" s="6"/>
      <c r="B658" s="6"/>
      <c r="C658" s="6"/>
      <c r="D658" s="6"/>
      <c r="E658" s="6"/>
      <c r="F658" s="6"/>
      <c r="G658" s="83"/>
      <c r="H658" s="83"/>
      <c r="I658" s="83"/>
      <c r="J658" s="83"/>
      <c r="K658" s="83"/>
      <c r="L658" s="83"/>
      <c r="M658" s="6"/>
      <c r="N658" s="83"/>
      <c r="O658" s="83"/>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7"/>
    </row>
    <row r="659" ht="15.75" customHeight="1">
      <c r="A659" s="6"/>
      <c r="B659" s="6"/>
      <c r="C659" s="6"/>
      <c r="D659" s="6"/>
      <c r="E659" s="6"/>
      <c r="F659" s="6"/>
      <c r="G659" s="83"/>
      <c r="H659" s="83"/>
      <c r="I659" s="83"/>
      <c r="J659" s="83"/>
      <c r="K659" s="83"/>
      <c r="L659" s="83"/>
      <c r="M659" s="6"/>
      <c r="N659" s="83"/>
      <c r="O659" s="83"/>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7"/>
    </row>
    <row r="660" ht="15.75" customHeight="1">
      <c r="A660" s="6"/>
      <c r="B660" s="6"/>
      <c r="C660" s="6"/>
      <c r="D660" s="6"/>
      <c r="E660" s="6"/>
      <c r="F660" s="6"/>
      <c r="G660" s="83"/>
      <c r="H660" s="83"/>
      <c r="I660" s="83"/>
      <c r="J660" s="83"/>
      <c r="K660" s="83"/>
      <c r="L660" s="83"/>
      <c r="M660" s="6"/>
      <c r="N660" s="83"/>
      <c r="O660" s="83"/>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7"/>
    </row>
    <row r="661" ht="15.75" customHeight="1">
      <c r="A661" s="6"/>
      <c r="B661" s="6"/>
      <c r="C661" s="6"/>
      <c r="D661" s="6"/>
      <c r="E661" s="6"/>
      <c r="F661" s="6"/>
      <c r="G661" s="83"/>
      <c r="H661" s="83"/>
      <c r="I661" s="83"/>
      <c r="J661" s="83"/>
      <c r="K661" s="83"/>
      <c r="L661" s="83"/>
      <c r="M661" s="6"/>
      <c r="N661" s="83"/>
      <c r="O661" s="83"/>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7"/>
    </row>
    <row r="662" ht="15.75" customHeight="1">
      <c r="A662" s="6"/>
      <c r="B662" s="6"/>
      <c r="C662" s="6"/>
      <c r="D662" s="6"/>
      <c r="E662" s="6"/>
      <c r="F662" s="6"/>
      <c r="G662" s="83"/>
      <c r="H662" s="83"/>
      <c r="I662" s="83"/>
      <c r="J662" s="83"/>
      <c r="K662" s="83"/>
      <c r="L662" s="83"/>
      <c r="M662" s="6"/>
      <c r="N662" s="83"/>
      <c r="O662" s="83"/>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7"/>
    </row>
    <row r="663" ht="15.75" customHeight="1">
      <c r="A663" s="6"/>
      <c r="B663" s="6"/>
      <c r="C663" s="6"/>
      <c r="D663" s="6"/>
      <c r="E663" s="6"/>
      <c r="F663" s="6"/>
      <c r="G663" s="83"/>
      <c r="H663" s="83"/>
      <c r="I663" s="83"/>
      <c r="J663" s="83"/>
      <c r="K663" s="83"/>
      <c r="L663" s="83"/>
      <c r="M663" s="6"/>
      <c r="N663" s="83"/>
      <c r="O663" s="83"/>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7"/>
    </row>
    <row r="664" ht="15.75" customHeight="1">
      <c r="A664" s="6"/>
      <c r="B664" s="6"/>
      <c r="C664" s="6"/>
      <c r="D664" s="6"/>
      <c r="E664" s="6"/>
      <c r="F664" s="6"/>
      <c r="G664" s="83"/>
      <c r="H664" s="83"/>
      <c r="I664" s="83"/>
      <c r="J664" s="83"/>
      <c r="K664" s="83"/>
      <c r="L664" s="83"/>
      <c r="M664" s="6"/>
      <c r="N664" s="83"/>
      <c r="O664" s="83"/>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7"/>
    </row>
    <row r="665" ht="15.75" customHeight="1">
      <c r="A665" s="6"/>
      <c r="B665" s="6"/>
      <c r="C665" s="6"/>
      <c r="D665" s="6"/>
      <c r="E665" s="6"/>
      <c r="F665" s="6"/>
      <c r="G665" s="83"/>
      <c r="H665" s="83"/>
      <c r="I665" s="83"/>
      <c r="J665" s="83"/>
      <c r="K665" s="83"/>
      <c r="L665" s="83"/>
      <c r="M665" s="6"/>
      <c r="N665" s="83"/>
      <c r="O665" s="83"/>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7"/>
    </row>
    <row r="666" ht="15.75" customHeight="1">
      <c r="A666" s="6"/>
      <c r="B666" s="6"/>
      <c r="C666" s="6"/>
      <c r="D666" s="6"/>
      <c r="E666" s="6"/>
      <c r="F666" s="6"/>
      <c r="G666" s="83"/>
      <c r="H666" s="83"/>
      <c r="I666" s="83"/>
      <c r="J666" s="83"/>
      <c r="K666" s="83"/>
      <c r="L666" s="83"/>
      <c r="M666" s="6"/>
      <c r="N666" s="83"/>
      <c r="O666" s="83"/>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7"/>
    </row>
    <row r="667" ht="15.75" customHeight="1">
      <c r="A667" s="6"/>
      <c r="B667" s="6"/>
      <c r="C667" s="6"/>
      <c r="D667" s="6"/>
      <c r="E667" s="6"/>
      <c r="F667" s="6"/>
      <c r="G667" s="83"/>
      <c r="H667" s="83"/>
      <c r="I667" s="83"/>
      <c r="J667" s="83"/>
      <c r="K667" s="83"/>
      <c r="L667" s="83"/>
      <c r="M667" s="6"/>
      <c r="N667" s="83"/>
      <c r="O667" s="83"/>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7"/>
    </row>
    <row r="668" ht="15.75" customHeight="1">
      <c r="A668" s="6"/>
      <c r="B668" s="6"/>
      <c r="C668" s="6"/>
      <c r="D668" s="6"/>
      <c r="E668" s="6"/>
      <c r="F668" s="6"/>
      <c r="G668" s="83"/>
      <c r="H668" s="83"/>
      <c r="I668" s="83"/>
      <c r="J668" s="83"/>
      <c r="K668" s="83"/>
      <c r="L668" s="83"/>
      <c r="M668" s="6"/>
      <c r="N668" s="83"/>
      <c r="O668" s="83"/>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7"/>
    </row>
    <row r="669" ht="15.75" customHeight="1">
      <c r="A669" s="6"/>
      <c r="B669" s="6"/>
      <c r="C669" s="6"/>
      <c r="D669" s="6"/>
      <c r="E669" s="6"/>
      <c r="F669" s="6"/>
      <c r="G669" s="83"/>
      <c r="H669" s="83"/>
      <c r="I669" s="83"/>
      <c r="J669" s="83"/>
      <c r="K669" s="83"/>
      <c r="L669" s="83"/>
      <c r="M669" s="6"/>
      <c r="N669" s="83"/>
      <c r="O669" s="83"/>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7"/>
    </row>
    <row r="670" ht="15.75" customHeight="1">
      <c r="A670" s="6"/>
      <c r="B670" s="6"/>
      <c r="C670" s="6"/>
      <c r="D670" s="6"/>
      <c r="E670" s="6"/>
      <c r="F670" s="6"/>
      <c r="G670" s="83"/>
      <c r="H670" s="83"/>
      <c r="I670" s="83"/>
      <c r="J670" s="83"/>
      <c r="K670" s="83"/>
      <c r="L670" s="83"/>
      <c r="M670" s="6"/>
      <c r="N670" s="83"/>
      <c r="O670" s="83"/>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7"/>
    </row>
    <row r="671" ht="15.75" customHeight="1">
      <c r="A671" s="6"/>
      <c r="B671" s="6"/>
      <c r="C671" s="6"/>
      <c r="D671" s="6"/>
      <c r="E671" s="6"/>
      <c r="F671" s="6"/>
      <c r="G671" s="83"/>
      <c r="H671" s="83"/>
      <c r="I671" s="83"/>
      <c r="J671" s="83"/>
      <c r="K671" s="83"/>
      <c r="L671" s="83"/>
      <c r="M671" s="6"/>
      <c r="N671" s="83"/>
      <c r="O671" s="83"/>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7"/>
    </row>
    <row r="672" ht="15.75" customHeight="1">
      <c r="A672" s="6"/>
      <c r="B672" s="6"/>
      <c r="C672" s="6"/>
      <c r="D672" s="6"/>
      <c r="E672" s="6"/>
      <c r="F672" s="6"/>
      <c r="G672" s="83"/>
      <c r="H672" s="83"/>
      <c r="I672" s="83"/>
      <c r="J672" s="83"/>
      <c r="K672" s="83"/>
      <c r="L672" s="83"/>
      <c r="M672" s="6"/>
      <c r="N672" s="83"/>
      <c r="O672" s="83"/>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7"/>
    </row>
    <row r="673" ht="15.75" customHeight="1">
      <c r="A673" s="6"/>
      <c r="B673" s="6"/>
      <c r="C673" s="6"/>
      <c r="D673" s="6"/>
      <c r="E673" s="6"/>
      <c r="F673" s="6"/>
      <c r="G673" s="83"/>
      <c r="H673" s="83"/>
      <c r="I673" s="83"/>
      <c r="J673" s="83"/>
      <c r="K673" s="83"/>
      <c r="L673" s="83"/>
      <c r="M673" s="6"/>
      <c r="N673" s="83"/>
      <c r="O673" s="83"/>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7"/>
    </row>
    <row r="674" ht="15.75" customHeight="1">
      <c r="A674" s="6"/>
      <c r="B674" s="6"/>
      <c r="C674" s="6"/>
      <c r="D674" s="6"/>
      <c r="E674" s="6"/>
      <c r="F674" s="6"/>
      <c r="G674" s="83"/>
      <c r="H674" s="83"/>
      <c r="I674" s="83"/>
      <c r="J674" s="83"/>
      <c r="K674" s="83"/>
      <c r="L674" s="83"/>
      <c r="M674" s="6"/>
      <c r="N674" s="83"/>
      <c r="O674" s="83"/>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7"/>
    </row>
    <row r="675" ht="15.75" customHeight="1">
      <c r="A675" s="6"/>
      <c r="B675" s="6"/>
      <c r="C675" s="6"/>
      <c r="D675" s="6"/>
      <c r="E675" s="6"/>
      <c r="F675" s="6"/>
      <c r="G675" s="83"/>
      <c r="H675" s="83"/>
      <c r="I675" s="83"/>
      <c r="J675" s="83"/>
      <c r="K675" s="83"/>
      <c r="L675" s="83"/>
      <c r="M675" s="6"/>
      <c r="N675" s="83"/>
      <c r="O675" s="83"/>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7"/>
    </row>
    <row r="676" ht="15.75" customHeight="1">
      <c r="A676" s="6"/>
      <c r="B676" s="6"/>
      <c r="C676" s="6"/>
      <c r="D676" s="6"/>
      <c r="E676" s="6"/>
      <c r="F676" s="6"/>
      <c r="G676" s="83"/>
      <c r="H676" s="83"/>
      <c r="I676" s="83"/>
      <c r="J676" s="83"/>
      <c r="K676" s="83"/>
      <c r="L676" s="83"/>
      <c r="M676" s="6"/>
      <c r="N676" s="83"/>
      <c r="O676" s="83"/>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7"/>
    </row>
    <row r="677" ht="15.75" customHeight="1">
      <c r="A677" s="6"/>
      <c r="B677" s="6"/>
      <c r="C677" s="6"/>
      <c r="D677" s="6"/>
      <c r="E677" s="6"/>
      <c r="F677" s="6"/>
      <c r="G677" s="83"/>
      <c r="H677" s="83"/>
      <c r="I677" s="83"/>
      <c r="J677" s="83"/>
      <c r="K677" s="83"/>
      <c r="L677" s="83"/>
      <c r="M677" s="6"/>
      <c r="N677" s="83"/>
      <c r="O677" s="83"/>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7"/>
    </row>
    <row r="678" ht="15.75" customHeight="1">
      <c r="A678" s="6"/>
      <c r="B678" s="6"/>
      <c r="C678" s="6"/>
      <c r="D678" s="6"/>
      <c r="E678" s="6"/>
      <c r="F678" s="6"/>
      <c r="G678" s="83"/>
      <c r="H678" s="83"/>
      <c r="I678" s="83"/>
      <c r="J678" s="83"/>
      <c r="K678" s="83"/>
      <c r="L678" s="83"/>
      <c r="M678" s="6"/>
      <c r="N678" s="83"/>
      <c r="O678" s="83"/>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7"/>
    </row>
    <row r="679" ht="15.75" customHeight="1">
      <c r="A679" s="6"/>
      <c r="B679" s="6"/>
      <c r="C679" s="6"/>
      <c r="D679" s="6"/>
      <c r="E679" s="6"/>
      <c r="F679" s="6"/>
      <c r="G679" s="83"/>
      <c r="H679" s="83"/>
      <c r="I679" s="83"/>
      <c r="J679" s="83"/>
      <c r="K679" s="83"/>
      <c r="L679" s="83"/>
      <c r="M679" s="6"/>
      <c r="N679" s="83"/>
      <c r="O679" s="83"/>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7"/>
    </row>
    <row r="680" ht="15.75" customHeight="1">
      <c r="A680" s="6"/>
      <c r="B680" s="6"/>
      <c r="C680" s="6"/>
      <c r="D680" s="6"/>
      <c r="E680" s="6"/>
      <c r="F680" s="6"/>
      <c r="G680" s="83"/>
      <c r="H680" s="83"/>
      <c r="I680" s="83"/>
      <c r="J680" s="83"/>
      <c r="K680" s="83"/>
      <c r="L680" s="83"/>
      <c r="M680" s="6"/>
      <c r="N680" s="83"/>
      <c r="O680" s="83"/>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7"/>
    </row>
    <row r="681" ht="15.75" customHeight="1">
      <c r="A681" s="6"/>
      <c r="B681" s="6"/>
      <c r="C681" s="6"/>
      <c r="D681" s="6"/>
      <c r="E681" s="6"/>
      <c r="F681" s="6"/>
      <c r="G681" s="83"/>
      <c r="H681" s="83"/>
      <c r="I681" s="83"/>
      <c r="J681" s="83"/>
      <c r="K681" s="83"/>
      <c r="L681" s="83"/>
      <c r="M681" s="6"/>
      <c r="N681" s="83"/>
      <c r="O681" s="83"/>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7"/>
    </row>
    <row r="682" ht="15.75" customHeight="1">
      <c r="A682" s="6"/>
      <c r="B682" s="6"/>
      <c r="C682" s="6"/>
      <c r="D682" s="6"/>
      <c r="E682" s="6"/>
      <c r="F682" s="6"/>
      <c r="G682" s="83"/>
      <c r="H682" s="83"/>
      <c r="I682" s="83"/>
      <c r="J682" s="83"/>
      <c r="K682" s="83"/>
      <c r="L682" s="83"/>
      <c r="M682" s="6"/>
      <c r="N682" s="83"/>
      <c r="O682" s="83"/>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7"/>
    </row>
    <row r="683" ht="15.75" customHeight="1">
      <c r="A683" s="6"/>
      <c r="B683" s="6"/>
      <c r="C683" s="6"/>
      <c r="D683" s="6"/>
      <c r="E683" s="6"/>
      <c r="F683" s="6"/>
      <c r="G683" s="83"/>
      <c r="H683" s="83"/>
      <c r="I683" s="83"/>
      <c r="J683" s="83"/>
      <c r="K683" s="83"/>
      <c r="L683" s="83"/>
      <c r="M683" s="6"/>
      <c r="N683" s="83"/>
      <c r="O683" s="83"/>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7"/>
    </row>
    <row r="684" ht="15.75" customHeight="1">
      <c r="A684" s="6"/>
      <c r="B684" s="6"/>
      <c r="C684" s="6"/>
      <c r="D684" s="6"/>
      <c r="E684" s="6"/>
      <c r="F684" s="6"/>
      <c r="G684" s="83"/>
      <c r="H684" s="83"/>
      <c r="I684" s="83"/>
      <c r="J684" s="83"/>
      <c r="K684" s="83"/>
      <c r="L684" s="83"/>
      <c r="M684" s="6"/>
      <c r="N684" s="83"/>
      <c r="O684" s="83"/>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7"/>
    </row>
    <row r="685" ht="15.75" customHeight="1">
      <c r="A685" s="6"/>
      <c r="B685" s="6"/>
      <c r="C685" s="6"/>
      <c r="D685" s="6"/>
      <c r="E685" s="6"/>
      <c r="F685" s="6"/>
      <c r="G685" s="83"/>
      <c r="H685" s="83"/>
      <c r="I685" s="83"/>
      <c r="J685" s="83"/>
      <c r="K685" s="83"/>
      <c r="L685" s="83"/>
      <c r="M685" s="6"/>
      <c r="N685" s="83"/>
      <c r="O685" s="83"/>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7"/>
    </row>
    <row r="686" ht="15.75" customHeight="1">
      <c r="A686" s="6"/>
      <c r="B686" s="6"/>
      <c r="C686" s="6"/>
      <c r="D686" s="6"/>
      <c r="E686" s="6"/>
      <c r="F686" s="6"/>
      <c r="G686" s="83"/>
      <c r="H686" s="83"/>
      <c r="I686" s="83"/>
      <c r="J686" s="83"/>
      <c r="K686" s="83"/>
      <c r="L686" s="83"/>
      <c r="M686" s="6"/>
      <c r="N686" s="83"/>
      <c r="O686" s="83"/>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7"/>
    </row>
    <row r="687" ht="15.75" customHeight="1">
      <c r="A687" s="6"/>
      <c r="B687" s="6"/>
      <c r="C687" s="6"/>
      <c r="D687" s="6"/>
      <c r="E687" s="6"/>
      <c r="F687" s="6"/>
      <c r="G687" s="83"/>
      <c r="H687" s="83"/>
      <c r="I687" s="83"/>
      <c r="J687" s="83"/>
      <c r="K687" s="83"/>
      <c r="L687" s="83"/>
      <c r="M687" s="6"/>
      <c r="N687" s="83"/>
      <c r="O687" s="83"/>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7"/>
    </row>
    <row r="688" ht="15.75" customHeight="1">
      <c r="A688" s="6"/>
      <c r="B688" s="6"/>
      <c r="C688" s="6"/>
      <c r="D688" s="6"/>
      <c r="E688" s="6"/>
      <c r="F688" s="6"/>
      <c r="G688" s="83"/>
      <c r="H688" s="83"/>
      <c r="I688" s="83"/>
      <c r="J688" s="83"/>
      <c r="K688" s="83"/>
      <c r="L688" s="83"/>
      <c r="M688" s="6"/>
      <c r="N688" s="83"/>
      <c r="O688" s="83"/>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7"/>
    </row>
    <row r="689" ht="15.75" customHeight="1">
      <c r="A689" s="6"/>
      <c r="B689" s="6"/>
      <c r="C689" s="6"/>
      <c r="D689" s="6"/>
      <c r="E689" s="6"/>
      <c r="F689" s="6"/>
      <c r="G689" s="83"/>
      <c r="H689" s="83"/>
      <c r="I689" s="83"/>
      <c r="J689" s="83"/>
      <c r="K689" s="83"/>
      <c r="L689" s="83"/>
      <c r="M689" s="6"/>
      <c r="N689" s="83"/>
      <c r="O689" s="83"/>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7"/>
    </row>
    <row r="690" ht="15.75" customHeight="1">
      <c r="A690" s="6"/>
      <c r="B690" s="6"/>
      <c r="C690" s="6"/>
      <c r="D690" s="6"/>
      <c r="E690" s="6"/>
      <c r="F690" s="6"/>
      <c r="G690" s="83"/>
      <c r="H690" s="83"/>
      <c r="I690" s="83"/>
      <c r="J690" s="83"/>
      <c r="K690" s="83"/>
      <c r="L690" s="83"/>
      <c r="M690" s="6"/>
      <c r="N690" s="83"/>
      <c r="O690" s="83"/>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7"/>
    </row>
    <row r="691" ht="15.75" customHeight="1">
      <c r="A691" s="6"/>
      <c r="B691" s="6"/>
      <c r="C691" s="6"/>
      <c r="D691" s="6"/>
      <c r="E691" s="6"/>
      <c r="F691" s="6"/>
      <c r="G691" s="83"/>
      <c r="H691" s="83"/>
      <c r="I691" s="83"/>
      <c r="J691" s="83"/>
      <c r="K691" s="83"/>
      <c r="L691" s="83"/>
      <c r="M691" s="6"/>
      <c r="N691" s="83"/>
      <c r="O691" s="83"/>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7"/>
    </row>
    <row r="692" ht="15.75" customHeight="1">
      <c r="A692" s="6"/>
      <c r="B692" s="6"/>
      <c r="C692" s="6"/>
      <c r="D692" s="6"/>
      <c r="E692" s="6"/>
      <c r="F692" s="6"/>
      <c r="G692" s="83"/>
      <c r="H692" s="83"/>
      <c r="I692" s="83"/>
      <c r="J692" s="83"/>
      <c r="K692" s="83"/>
      <c r="L692" s="83"/>
      <c r="M692" s="6"/>
      <c r="N692" s="83"/>
      <c r="O692" s="83"/>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7"/>
    </row>
    <row r="693" ht="15.75" customHeight="1">
      <c r="A693" s="6"/>
      <c r="B693" s="6"/>
      <c r="C693" s="6"/>
      <c r="D693" s="6"/>
      <c r="E693" s="6"/>
      <c r="F693" s="6"/>
      <c r="G693" s="83"/>
      <c r="H693" s="83"/>
      <c r="I693" s="83"/>
      <c r="J693" s="83"/>
      <c r="K693" s="83"/>
      <c r="L693" s="83"/>
      <c r="M693" s="6"/>
      <c r="N693" s="83"/>
      <c r="O693" s="83"/>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7"/>
    </row>
    <row r="694" ht="15.75" customHeight="1">
      <c r="A694" s="6"/>
      <c r="B694" s="6"/>
      <c r="C694" s="6"/>
      <c r="D694" s="6"/>
      <c r="E694" s="6"/>
      <c r="F694" s="6"/>
      <c r="G694" s="83"/>
      <c r="H694" s="83"/>
      <c r="I694" s="83"/>
      <c r="J694" s="83"/>
      <c r="K694" s="83"/>
      <c r="L694" s="83"/>
      <c r="M694" s="6"/>
      <c r="N694" s="83"/>
      <c r="O694" s="83"/>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7"/>
    </row>
    <row r="695" ht="15.75" customHeight="1">
      <c r="A695" s="6"/>
      <c r="B695" s="6"/>
      <c r="C695" s="6"/>
      <c r="D695" s="6"/>
      <c r="E695" s="6"/>
      <c r="F695" s="6"/>
      <c r="G695" s="83"/>
      <c r="H695" s="83"/>
      <c r="I695" s="83"/>
      <c r="J695" s="83"/>
      <c r="K695" s="83"/>
      <c r="L695" s="83"/>
      <c r="M695" s="6"/>
      <c r="N695" s="83"/>
      <c r="O695" s="83"/>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7"/>
    </row>
    <row r="696" ht="15.75" customHeight="1">
      <c r="A696" s="6"/>
      <c r="B696" s="6"/>
      <c r="C696" s="6"/>
      <c r="D696" s="6"/>
      <c r="E696" s="6"/>
      <c r="F696" s="6"/>
      <c r="G696" s="83"/>
      <c r="H696" s="83"/>
      <c r="I696" s="83"/>
      <c r="J696" s="83"/>
      <c r="K696" s="83"/>
      <c r="L696" s="83"/>
      <c r="M696" s="6"/>
      <c r="N696" s="83"/>
      <c r="O696" s="83"/>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7"/>
    </row>
    <row r="697" ht="15.75" customHeight="1">
      <c r="A697" s="6"/>
      <c r="B697" s="6"/>
      <c r="C697" s="6"/>
      <c r="D697" s="6"/>
      <c r="E697" s="6"/>
      <c r="F697" s="6"/>
      <c r="G697" s="83"/>
      <c r="H697" s="83"/>
      <c r="I697" s="83"/>
      <c r="J697" s="83"/>
      <c r="K697" s="83"/>
      <c r="L697" s="83"/>
      <c r="M697" s="6"/>
      <c r="N697" s="83"/>
      <c r="O697" s="83"/>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7"/>
    </row>
    <row r="698" ht="15.75" customHeight="1">
      <c r="A698" s="6"/>
      <c r="B698" s="6"/>
      <c r="C698" s="6"/>
      <c r="D698" s="6"/>
      <c r="E698" s="6"/>
      <c r="F698" s="6"/>
      <c r="G698" s="83"/>
      <c r="H698" s="83"/>
      <c r="I698" s="83"/>
      <c r="J698" s="83"/>
      <c r="K698" s="83"/>
      <c r="L698" s="83"/>
      <c r="M698" s="6"/>
      <c r="N698" s="83"/>
      <c r="O698" s="83"/>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7"/>
    </row>
    <row r="699" ht="15.75" customHeight="1">
      <c r="A699" s="6"/>
      <c r="B699" s="6"/>
      <c r="C699" s="6"/>
      <c r="D699" s="6"/>
      <c r="E699" s="6"/>
      <c r="F699" s="6"/>
      <c r="G699" s="83"/>
      <c r="H699" s="83"/>
      <c r="I699" s="83"/>
      <c r="J699" s="83"/>
      <c r="K699" s="83"/>
      <c r="L699" s="83"/>
      <c r="M699" s="6"/>
      <c r="N699" s="83"/>
      <c r="O699" s="83"/>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7"/>
    </row>
    <row r="700" ht="15.75" customHeight="1">
      <c r="A700" s="6"/>
      <c r="B700" s="6"/>
      <c r="C700" s="6"/>
      <c r="D700" s="6"/>
      <c r="E700" s="6"/>
      <c r="F700" s="6"/>
      <c r="G700" s="83"/>
      <c r="H700" s="83"/>
      <c r="I700" s="83"/>
      <c r="J700" s="83"/>
      <c r="K700" s="83"/>
      <c r="L700" s="83"/>
      <c r="M700" s="6"/>
      <c r="N700" s="83"/>
      <c r="O700" s="83"/>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7"/>
    </row>
    <row r="701" ht="15.75" customHeight="1">
      <c r="A701" s="6"/>
      <c r="B701" s="6"/>
      <c r="C701" s="6"/>
      <c r="D701" s="6"/>
      <c r="E701" s="6"/>
      <c r="F701" s="6"/>
      <c r="G701" s="83"/>
      <c r="H701" s="83"/>
      <c r="I701" s="83"/>
      <c r="J701" s="83"/>
      <c r="K701" s="83"/>
      <c r="L701" s="83"/>
      <c r="M701" s="6"/>
      <c r="N701" s="83"/>
      <c r="O701" s="83"/>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7"/>
    </row>
    <row r="702" ht="15.75" customHeight="1">
      <c r="A702" s="6"/>
      <c r="B702" s="6"/>
      <c r="C702" s="6"/>
      <c r="D702" s="6"/>
      <c r="E702" s="6"/>
      <c r="F702" s="6"/>
      <c r="G702" s="83"/>
      <c r="H702" s="83"/>
      <c r="I702" s="83"/>
      <c r="J702" s="83"/>
      <c r="K702" s="83"/>
      <c r="L702" s="83"/>
      <c r="M702" s="6"/>
      <c r="N702" s="83"/>
      <c r="O702" s="83"/>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7"/>
    </row>
    <row r="703" ht="15.75" customHeight="1">
      <c r="A703" s="6"/>
      <c r="B703" s="6"/>
      <c r="C703" s="6"/>
      <c r="D703" s="6"/>
      <c r="E703" s="6"/>
      <c r="F703" s="6"/>
      <c r="G703" s="83"/>
      <c r="H703" s="83"/>
      <c r="I703" s="83"/>
      <c r="J703" s="83"/>
      <c r="K703" s="83"/>
      <c r="L703" s="83"/>
      <c r="M703" s="6"/>
      <c r="N703" s="83"/>
      <c r="O703" s="83"/>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7"/>
    </row>
    <row r="704" ht="15.75" customHeight="1">
      <c r="A704" s="6"/>
      <c r="B704" s="6"/>
      <c r="C704" s="6"/>
      <c r="D704" s="6"/>
      <c r="E704" s="6"/>
      <c r="F704" s="6"/>
      <c r="G704" s="83"/>
      <c r="H704" s="83"/>
      <c r="I704" s="83"/>
      <c r="J704" s="83"/>
      <c r="K704" s="83"/>
      <c r="L704" s="83"/>
      <c r="M704" s="6"/>
      <c r="N704" s="83"/>
      <c r="O704" s="83"/>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7"/>
    </row>
    <row r="705" ht="15.75" customHeight="1">
      <c r="A705" s="6"/>
      <c r="B705" s="6"/>
      <c r="C705" s="6"/>
      <c r="D705" s="6"/>
      <c r="E705" s="6"/>
      <c r="F705" s="6"/>
      <c r="G705" s="83"/>
      <c r="H705" s="83"/>
      <c r="I705" s="83"/>
      <c r="J705" s="83"/>
      <c r="K705" s="83"/>
      <c r="L705" s="83"/>
      <c r="M705" s="6"/>
      <c r="N705" s="83"/>
      <c r="O705" s="83"/>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7"/>
    </row>
    <row r="706" ht="15.75" customHeight="1">
      <c r="A706" s="6"/>
      <c r="B706" s="6"/>
      <c r="C706" s="6"/>
      <c r="D706" s="6"/>
      <c r="E706" s="6"/>
      <c r="F706" s="6"/>
      <c r="G706" s="83"/>
      <c r="H706" s="83"/>
      <c r="I706" s="83"/>
      <c r="J706" s="83"/>
      <c r="K706" s="83"/>
      <c r="L706" s="83"/>
      <c r="M706" s="6"/>
      <c r="N706" s="83"/>
      <c r="O706" s="83"/>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7"/>
    </row>
    <row r="707" ht="15.75" customHeight="1">
      <c r="A707" s="6"/>
      <c r="B707" s="6"/>
      <c r="C707" s="6"/>
      <c r="D707" s="6"/>
      <c r="E707" s="6"/>
      <c r="F707" s="6"/>
      <c r="G707" s="83"/>
      <c r="H707" s="83"/>
      <c r="I707" s="83"/>
      <c r="J707" s="83"/>
      <c r="K707" s="83"/>
      <c r="L707" s="83"/>
      <c r="M707" s="6"/>
      <c r="N707" s="83"/>
      <c r="O707" s="83"/>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7"/>
    </row>
    <row r="708" ht="15.75" customHeight="1">
      <c r="A708" s="6"/>
      <c r="B708" s="6"/>
      <c r="C708" s="6"/>
      <c r="D708" s="6"/>
      <c r="E708" s="6"/>
      <c r="F708" s="6"/>
      <c r="G708" s="83"/>
      <c r="H708" s="83"/>
      <c r="I708" s="83"/>
      <c r="J708" s="83"/>
      <c r="K708" s="83"/>
      <c r="L708" s="83"/>
      <c r="M708" s="6"/>
      <c r="N708" s="83"/>
      <c r="O708" s="83"/>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7"/>
    </row>
    <row r="709" ht="15.75" customHeight="1">
      <c r="A709" s="6"/>
      <c r="B709" s="6"/>
      <c r="C709" s="6"/>
      <c r="D709" s="6"/>
      <c r="E709" s="6"/>
      <c r="F709" s="6"/>
      <c r="G709" s="83"/>
      <c r="H709" s="83"/>
      <c r="I709" s="83"/>
      <c r="J709" s="83"/>
      <c r="K709" s="83"/>
      <c r="L709" s="83"/>
      <c r="M709" s="6"/>
      <c r="N709" s="83"/>
      <c r="O709" s="83"/>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7"/>
    </row>
    <row r="710" ht="15.75" customHeight="1">
      <c r="A710" s="6"/>
      <c r="B710" s="6"/>
      <c r="C710" s="6"/>
      <c r="D710" s="6"/>
      <c r="E710" s="6"/>
      <c r="F710" s="6"/>
      <c r="G710" s="83"/>
      <c r="H710" s="83"/>
      <c r="I710" s="83"/>
      <c r="J710" s="83"/>
      <c r="K710" s="83"/>
      <c r="L710" s="83"/>
      <c r="M710" s="6"/>
      <c r="N710" s="83"/>
      <c r="O710" s="83"/>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7"/>
    </row>
    <row r="711" ht="15.75" customHeight="1">
      <c r="A711" s="6"/>
      <c r="B711" s="6"/>
      <c r="C711" s="6"/>
      <c r="D711" s="6"/>
      <c r="E711" s="6"/>
      <c r="F711" s="6"/>
      <c r="G711" s="83"/>
      <c r="H711" s="83"/>
      <c r="I711" s="83"/>
      <c r="J711" s="83"/>
      <c r="K711" s="83"/>
      <c r="L711" s="83"/>
      <c r="M711" s="6"/>
      <c r="N711" s="83"/>
      <c r="O711" s="83"/>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7"/>
    </row>
    <row r="712" ht="15.75" customHeight="1">
      <c r="A712" s="6"/>
      <c r="B712" s="6"/>
      <c r="C712" s="6"/>
      <c r="D712" s="6"/>
      <c r="E712" s="6"/>
      <c r="F712" s="6"/>
      <c r="G712" s="83"/>
      <c r="H712" s="83"/>
      <c r="I712" s="83"/>
      <c r="J712" s="83"/>
      <c r="K712" s="83"/>
      <c r="L712" s="83"/>
      <c r="M712" s="6"/>
      <c r="N712" s="83"/>
      <c r="O712" s="83"/>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7"/>
    </row>
    <row r="713" ht="15.75" customHeight="1">
      <c r="A713" s="6"/>
      <c r="B713" s="6"/>
      <c r="C713" s="6"/>
      <c r="D713" s="6"/>
      <c r="E713" s="6"/>
      <c r="F713" s="6"/>
      <c r="G713" s="83"/>
      <c r="H713" s="83"/>
      <c r="I713" s="83"/>
      <c r="J713" s="83"/>
      <c r="K713" s="83"/>
      <c r="L713" s="83"/>
      <c r="M713" s="6"/>
      <c r="N713" s="83"/>
      <c r="O713" s="83"/>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7"/>
    </row>
    <row r="714" ht="15.75" customHeight="1">
      <c r="A714" s="6"/>
      <c r="B714" s="6"/>
      <c r="C714" s="6"/>
      <c r="D714" s="6"/>
      <c r="E714" s="6"/>
      <c r="F714" s="6"/>
      <c r="G714" s="83"/>
      <c r="H714" s="83"/>
      <c r="I714" s="83"/>
      <c r="J714" s="83"/>
      <c r="K714" s="83"/>
      <c r="L714" s="83"/>
      <c r="M714" s="6"/>
      <c r="N714" s="83"/>
      <c r="O714" s="83"/>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7"/>
    </row>
    <row r="715" ht="15.75" customHeight="1">
      <c r="A715" s="6"/>
      <c r="B715" s="6"/>
      <c r="C715" s="6"/>
      <c r="D715" s="6"/>
      <c r="E715" s="6"/>
      <c r="F715" s="6"/>
      <c r="G715" s="83"/>
      <c r="H715" s="83"/>
      <c r="I715" s="83"/>
      <c r="J715" s="83"/>
      <c r="K715" s="83"/>
      <c r="L715" s="83"/>
      <c r="M715" s="6"/>
      <c r="N715" s="83"/>
      <c r="O715" s="83"/>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7"/>
    </row>
    <row r="716" ht="15.75" customHeight="1">
      <c r="A716" s="6"/>
      <c r="B716" s="6"/>
      <c r="C716" s="6"/>
      <c r="D716" s="6"/>
      <c r="E716" s="6"/>
      <c r="F716" s="6"/>
      <c r="G716" s="83"/>
      <c r="H716" s="83"/>
      <c r="I716" s="83"/>
      <c r="J716" s="83"/>
      <c r="K716" s="83"/>
      <c r="L716" s="83"/>
      <c r="M716" s="6"/>
      <c r="N716" s="83"/>
      <c r="O716" s="83"/>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7"/>
    </row>
    <row r="717" ht="15.75" customHeight="1">
      <c r="A717" s="6"/>
      <c r="B717" s="6"/>
      <c r="C717" s="6"/>
      <c r="D717" s="6"/>
      <c r="E717" s="6"/>
      <c r="F717" s="6"/>
      <c r="G717" s="83"/>
      <c r="H717" s="83"/>
      <c r="I717" s="83"/>
      <c r="J717" s="83"/>
      <c r="K717" s="83"/>
      <c r="L717" s="83"/>
      <c r="M717" s="6"/>
      <c r="N717" s="83"/>
      <c r="O717" s="83"/>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7"/>
    </row>
    <row r="718" ht="15.75" customHeight="1">
      <c r="A718" s="6"/>
      <c r="B718" s="6"/>
      <c r="C718" s="6"/>
      <c r="D718" s="6"/>
      <c r="E718" s="6"/>
      <c r="F718" s="6"/>
      <c r="G718" s="83"/>
      <c r="H718" s="83"/>
      <c r="I718" s="83"/>
      <c r="J718" s="83"/>
      <c r="K718" s="83"/>
      <c r="L718" s="83"/>
      <c r="M718" s="6"/>
      <c r="N718" s="83"/>
      <c r="O718" s="83"/>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7"/>
    </row>
    <row r="719" ht="15.75" customHeight="1">
      <c r="A719" s="6"/>
      <c r="B719" s="6"/>
      <c r="C719" s="6"/>
      <c r="D719" s="6"/>
      <c r="E719" s="6"/>
      <c r="F719" s="6"/>
      <c r="G719" s="83"/>
      <c r="H719" s="83"/>
      <c r="I719" s="83"/>
      <c r="J719" s="83"/>
      <c r="K719" s="83"/>
      <c r="L719" s="83"/>
      <c r="M719" s="6"/>
      <c r="N719" s="83"/>
      <c r="O719" s="83"/>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7"/>
    </row>
    <row r="720" ht="15.75" customHeight="1">
      <c r="A720" s="6"/>
      <c r="B720" s="6"/>
      <c r="C720" s="6"/>
      <c r="D720" s="6"/>
      <c r="E720" s="6"/>
      <c r="F720" s="6"/>
      <c r="G720" s="83"/>
      <c r="H720" s="83"/>
      <c r="I720" s="83"/>
      <c r="J720" s="83"/>
      <c r="K720" s="83"/>
      <c r="L720" s="83"/>
      <c r="M720" s="6"/>
      <c r="N720" s="83"/>
      <c r="O720" s="83"/>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7"/>
    </row>
    <row r="721" ht="15.75" customHeight="1">
      <c r="A721" s="6"/>
      <c r="B721" s="6"/>
      <c r="C721" s="6"/>
      <c r="D721" s="6"/>
      <c r="E721" s="6"/>
      <c r="F721" s="6"/>
      <c r="G721" s="83"/>
      <c r="H721" s="83"/>
      <c r="I721" s="83"/>
      <c r="J721" s="83"/>
      <c r="K721" s="83"/>
      <c r="L721" s="83"/>
      <c r="M721" s="6"/>
      <c r="N721" s="83"/>
      <c r="O721" s="83"/>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7"/>
    </row>
    <row r="722" ht="15.75" customHeight="1">
      <c r="A722" s="6"/>
      <c r="B722" s="6"/>
      <c r="C722" s="6"/>
      <c r="D722" s="6"/>
      <c r="E722" s="6"/>
      <c r="F722" s="6"/>
      <c r="G722" s="83"/>
      <c r="H722" s="83"/>
      <c r="I722" s="83"/>
      <c r="J722" s="83"/>
      <c r="K722" s="83"/>
      <c r="L722" s="83"/>
      <c r="M722" s="6"/>
      <c r="N722" s="83"/>
      <c r="O722" s="83"/>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7"/>
    </row>
    <row r="723" ht="15.75" customHeight="1">
      <c r="A723" s="6"/>
      <c r="B723" s="6"/>
      <c r="C723" s="6"/>
      <c r="D723" s="6"/>
      <c r="E723" s="6"/>
      <c r="F723" s="6"/>
      <c r="G723" s="83"/>
      <c r="H723" s="83"/>
      <c r="I723" s="83"/>
      <c r="J723" s="83"/>
      <c r="K723" s="83"/>
      <c r="L723" s="83"/>
      <c r="M723" s="6"/>
      <c r="N723" s="83"/>
      <c r="O723" s="83"/>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7"/>
    </row>
    <row r="724" ht="15.75" customHeight="1">
      <c r="A724" s="6"/>
      <c r="B724" s="6"/>
      <c r="C724" s="6"/>
      <c r="D724" s="6"/>
      <c r="E724" s="6"/>
      <c r="F724" s="6"/>
      <c r="G724" s="83"/>
      <c r="H724" s="83"/>
      <c r="I724" s="83"/>
      <c r="J724" s="83"/>
      <c r="K724" s="83"/>
      <c r="L724" s="83"/>
      <c r="M724" s="6"/>
      <c r="N724" s="83"/>
      <c r="O724" s="83"/>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7"/>
    </row>
    <row r="725" ht="15.75" customHeight="1">
      <c r="A725" s="6"/>
      <c r="B725" s="6"/>
      <c r="C725" s="6"/>
      <c r="D725" s="6"/>
      <c r="E725" s="6"/>
      <c r="F725" s="6"/>
      <c r="G725" s="83"/>
      <c r="H725" s="83"/>
      <c r="I725" s="83"/>
      <c r="J725" s="83"/>
      <c r="K725" s="83"/>
      <c r="L725" s="83"/>
      <c r="M725" s="6"/>
      <c r="N725" s="83"/>
      <c r="O725" s="83"/>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7"/>
    </row>
    <row r="726" ht="15.75" customHeight="1">
      <c r="A726" s="6"/>
      <c r="B726" s="6"/>
      <c r="C726" s="6"/>
      <c r="D726" s="6"/>
      <c r="E726" s="6"/>
      <c r="F726" s="6"/>
      <c r="G726" s="83"/>
      <c r="H726" s="83"/>
      <c r="I726" s="83"/>
      <c r="J726" s="83"/>
      <c r="K726" s="83"/>
      <c r="L726" s="83"/>
      <c r="M726" s="6"/>
      <c r="N726" s="83"/>
      <c r="O726" s="83"/>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7"/>
    </row>
    <row r="727" ht="15.75" customHeight="1">
      <c r="A727" s="6"/>
      <c r="B727" s="6"/>
      <c r="C727" s="6"/>
      <c r="D727" s="6"/>
      <c r="E727" s="6"/>
      <c r="F727" s="6"/>
      <c r="G727" s="83"/>
      <c r="H727" s="83"/>
      <c r="I727" s="83"/>
      <c r="J727" s="83"/>
      <c r="K727" s="83"/>
      <c r="L727" s="83"/>
      <c r="M727" s="6"/>
      <c r="N727" s="83"/>
      <c r="O727" s="83"/>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7"/>
    </row>
    <row r="728" ht="15.75" customHeight="1">
      <c r="A728" s="6"/>
      <c r="B728" s="6"/>
      <c r="C728" s="6"/>
      <c r="D728" s="6"/>
      <c r="E728" s="6"/>
      <c r="F728" s="6"/>
      <c r="G728" s="83"/>
      <c r="H728" s="83"/>
      <c r="I728" s="83"/>
      <c r="J728" s="83"/>
      <c r="K728" s="83"/>
      <c r="L728" s="83"/>
      <c r="M728" s="6"/>
      <c r="N728" s="83"/>
      <c r="O728" s="83"/>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7"/>
    </row>
    <row r="729" ht="15.75" customHeight="1">
      <c r="A729" s="6"/>
      <c r="B729" s="6"/>
      <c r="C729" s="6"/>
      <c r="D729" s="6"/>
      <c r="E729" s="6"/>
      <c r="F729" s="6"/>
      <c r="G729" s="83"/>
      <c r="H729" s="83"/>
      <c r="I729" s="83"/>
      <c r="J729" s="83"/>
      <c r="K729" s="83"/>
      <c r="L729" s="83"/>
      <c r="M729" s="6"/>
      <c r="N729" s="83"/>
      <c r="O729" s="83"/>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7"/>
    </row>
    <row r="730" ht="15.75" customHeight="1">
      <c r="A730" s="6"/>
      <c r="B730" s="6"/>
      <c r="C730" s="6"/>
      <c r="D730" s="6"/>
      <c r="E730" s="6"/>
      <c r="F730" s="6"/>
      <c r="G730" s="83"/>
      <c r="H730" s="83"/>
      <c r="I730" s="83"/>
      <c r="J730" s="83"/>
      <c r="K730" s="83"/>
      <c r="L730" s="83"/>
      <c r="M730" s="6"/>
      <c r="N730" s="83"/>
      <c r="O730" s="83"/>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7"/>
    </row>
    <row r="731" ht="15.75" customHeight="1">
      <c r="A731" s="6"/>
      <c r="B731" s="6"/>
      <c r="C731" s="6"/>
      <c r="D731" s="6"/>
      <c r="E731" s="6"/>
      <c r="F731" s="6"/>
      <c r="G731" s="83"/>
      <c r="H731" s="83"/>
      <c r="I731" s="83"/>
      <c r="J731" s="83"/>
      <c r="K731" s="83"/>
      <c r="L731" s="83"/>
      <c r="M731" s="6"/>
      <c r="N731" s="83"/>
      <c r="O731" s="83"/>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7"/>
    </row>
    <row r="732" ht="15.75" customHeight="1">
      <c r="A732" s="6"/>
      <c r="B732" s="6"/>
      <c r="C732" s="6"/>
      <c r="D732" s="6"/>
      <c r="E732" s="6"/>
      <c r="F732" s="6"/>
      <c r="G732" s="83"/>
      <c r="H732" s="83"/>
      <c r="I732" s="83"/>
      <c r="J732" s="83"/>
      <c r="K732" s="83"/>
      <c r="L732" s="83"/>
      <c r="M732" s="6"/>
      <c r="N732" s="83"/>
      <c r="O732" s="83"/>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7"/>
    </row>
    <row r="733" ht="15.75" customHeight="1">
      <c r="A733" s="6"/>
      <c r="B733" s="6"/>
      <c r="C733" s="6"/>
      <c r="D733" s="6"/>
      <c r="E733" s="6"/>
      <c r="F733" s="6"/>
      <c r="G733" s="83"/>
      <c r="H733" s="83"/>
      <c r="I733" s="83"/>
      <c r="J733" s="83"/>
      <c r="K733" s="83"/>
      <c r="L733" s="83"/>
      <c r="M733" s="6"/>
      <c r="N733" s="83"/>
      <c r="O733" s="83"/>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7"/>
    </row>
    <row r="734" ht="15.75" customHeight="1">
      <c r="A734" s="6"/>
      <c r="B734" s="6"/>
      <c r="C734" s="6"/>
      <c r="D734" s="6"/>
      <c r="E734" s="6"/>
      <c r="F734" s="6"/>
      <c r="G734" s="83"/>
      <c r="H734" s="83"/>
      <c r="I734" s="83"/>
      <c r="J734" s="83"/>
      <c r="K734" s="83"/>
      <c r="L734" s="83"/>
      <c r="M734" s="6"/>
      <c r="N734" s="83"/>
      <c r="O734" s="83"/>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7"/>
    </row>
    <row r="735" ht="15.75" customHeight="1">
      <c r="A735" s="6"/>
      <c r="B735" s="6"/>
      <c r="C735" s="6"/>
      <c r="D735" s="6"/>
      <c r="E735" s="6"/>
      <c r="F735" s="6"/>
      <c r="G735" s="83"/>
      <c r="H735" s="83"/>
      <c r="I735" s="83"/>
      <c r="J735" s="83"/>
      <c r="K735" s="83"/>
      <c r="L735" s="83"/>
      <c r="M735" s="6"/>
      <c r="N735" s="83"/>
      <c r="O735" s="83"/>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7"/>
    </row>
    <row r="736" ht="15.75" customHeight="1">
      <c r="A736" s="6"/>
      <c r="B736" s="6"/>
      <c r="C736" s="6"/>
      <c r="D736" s="6"/>
      <c r="E736" s="6"/>
      <c r="F736" s="6"/>
      <c r="G736" s="83"/>
      <c r="H736" s="83"/>
      <c r="I736" s="83"/>
      <c r="J736" s="83"/>
      <c r="K736" s="83"/>
      <c r="L736" s="83"/>
      <c r="M736" s="6"/>
      <c r="N736" s="83"/>
      <c r="O736" s="83"/>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7"/>
    </row>
    <row r="737" ht="15.75" customHeight="1">
      <c r="A737" s="6"/>
      <c r="B737" s="6"/>
      <c r="C737" s="6"/>
      <c r="D737" s="6"/>
      <c r="E737" s="6"/>
      <c r="F737" s="6"/>
      <c r="G737" s="83"/>
      <c r="H737" s="83"/>
      <c r="I737" s="83"/>
      <c r="J737" s="83"/>
      <c r="K737" s="83"/>
      <c r="L737" s="83"/>
      <c r="M737" s="6"/>
      <c r="N737" s="83"/>
      <c r="O737" s="83"/>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7"/>
    </row>
    <row r="738" ht="15.75" customHeight="1">
      <c r="A738" s="6"/>
      <c r="B738" s="6"/>
      <c r="C738" s="6"/>
      <c r="D738" s="6"/>
      <c r="E738" s="6"/>
      <c r="F738" s="6"/>
      <c r="G738" s="83"/>
      <c r="H738" s="83"/>
      <c r="I738" s="83"/>
      <c r="J738" s="83"/>
      <c r="K738" s="83"/>
      <c r="L738" s="83"/>
      <c r="M738" s="6"/>
      <c r="N738" s="83"/>
      <c r="O738" s="83"/>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7"/>
    </row>
    <row r="739" ht="15.75" customHeight="1">
      <c r="A739" s="6"/>
      <c r="B739" s="6"/>
      <c r="C739" s="6"/>
      <c r="D739" s="6"/>
      <c r="E739" s="6"/>
      <c r="F739" s="6"/>
      <c r="G739" s="83"/>
      <c r="H739" s="83"/>
      <c r="I739" s="83"/>
      <c r="J739" s="83"/>
      <c r="K739" s="83"/>
      <c r="L739" s="83"/>
      <c r="M739" s="6"/>
      <c r="N739" s="83"/>
      <c r="O739" s="83"/>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7"/>
    </row>
    <row r="740" ht="15.75" customHeight="1">
      <c r="A740" s="6"/>
      <c r="B740" s="6"/>
      <c r="C740" s="6"/>
      <c r="D740" s="6"/>
      <c r="E740" s="6"/>
      <c r="F740" s="6"/>
      <c r="G740" s="83"/>
      <c r="H740" s="83"/>
      <c r="I740" s="83"/>
      <c r="J740" s="83"/>
      <c r="K740" s="83"/>
      <c r="L740" s="83"/>
      <c r="M740" s="6"/>
      <c r="N740" s="83"/>
      <c r="O740" s="83"/>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7"/>
    </row>
    <row r="741" ht="15.75" customHeight="1">
      <c r="A741" s="6"/>
      <c r="B741" s="6"/>
      <c r="C741" s="6"/>
      <c r="D741" s="6"/>
      <c r="E741" s="6"/>
      <c r="F741" s="6"/>
      <c r="G741" s="83"/>
      <c r="H741" s="83"/>
      <c r="I741" s="83"/>
      <c r="J741" s="83"/>
      <c r="K741" s="83"/>
      <c r="L741" s="83"/>
      <c r="M741" s="6"/>
      <c r="N741" s="83"/>
      <c r="O741" s="83"/>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7"/>
    </row>
    <row r="742" ht="15.75" customHeight="1">
      <c r="A742" s="6"/>
      <c r="B742" s="6"/>
      <c r="C742" s="6"/>
      <c r="D742" s="6"/>
      <c r="E742" s="6"/>
      <c r="F742" s="6"/>
      <c r="G742" s="83"/>
      <c r="H742" s="83"/>
      <c r="I742" s="83"/>
      <c r="J742" s="83"/>
      <c r="K742" s="83"/>
      <c r="L742" s="83"/>
      <c r="M742" s="6"/>
      <c r="N742" s="83"/>
      <c r="O742" s="83"/>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7"/>
    </row>
    <row r="743" ht="15.75" customHeight="1">
      <c r="A743" s="6"/>
      <c r="B743" s="6"/>
      <c r="C743" s="6"/>
      <c r="D743" s="6"/>
      <c r="E743" s="6"/>
      <c r="F743" s="6"/>
      <c r="G743" s="83"/>
      <c r="H743" s="83"/>
      <c r="I743" s="83"/>
      <c r="J743" s="83"/>
      <c r="K743" s="83"/>
      <c r="L743" s="83"/>
      <c r="M743" s="6"/>
      <c r="N743" s="83"/>
      <c r="O743" s="83"/>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7"/>
    </row>
    <row r="744" ht="15.75" customHeight="1">
      <c r="A744" s="6"/>
      <c r="B744" s="6"/>
      <c r="C744" s="6"/>
      <c r="D744" s="6"/>
      <c r="E744" s="6"/>
      <c r="F744" s="6"/>
      <c r="G744" s="83"/>
      <c r="H744" s="83"/>
      <c r="I744" s="83"/>
      <c r="J744" s="83"/>
      <c r="K744" s="83"/>
      <c r="L744" s="83"/>
      <c r="M744" s="6"/>
      <c r="N744" s="83"/>
      <c r="O744" s="83"/>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7"/>
    </row>
    <row r="745" ht="15.75" customHeight="1">
      <c r="A745" s="6"/>
      <c r="B745" s="6"/>
      <c r="C745" s="6"/>
      <c r="D745" s="6"/>
      <c r="E745" s="6"/>
      <c r="F745" s="6"/>
      <c r="G745" s="83"/>
      <c r="H745" s="83"/>
      <c r="I745" s="83"/>
      <c r="J745" s="83"/>
      <c r="K745" s="83"/>
      <c r="L745" s="83"/>
      <c r="M745" s="6"/>
      <c r="N745" s="83"/>
      <c r="O745" s="83"/>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7"/>
    </row>
    <row r="746" ht="15.75" customHeight="1">
      <c r="A746" s="6"/>
      <c r="B746" s="6"/>
      <c r="C746" s="6"/>
      <c r="D746" s="6"/>
      <c r="E746" s="6"/>
      <c r="F746" s="6"/>
      <c r="G746" s="83"/>
      <c r="H746" s="83"/>
      <c r="I746" s="83"/>
      <c r="J746" s="83"/>
      <c r="K746" s="83"/>
      <c r="L746" s="83"/>
      <c r="M746" s="6"/>
      <c r="N746" s="83"/>
      <c r="O746" s="83"/>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7"/>
    </row>
    <row r="747" ht="15.75" customHeight="1">
      <c r="A747" s="6"/>
      <c r="B747" s="6"/>
      <c r="C747" s="6"/>
      <c r="D747" s="6"/>
      <c r="E747" s="6"/>
      <c r="F747" s="6"/>
      <c r="G747" s="83"/>
      <c r="H747" s="83"/>
      <c r="I747" s="83"/>
      <c r="J747" s="83"/>
      <c r="K747" s="83"/>
      <c r="L747" s="83"/>
      <c r="M747" s="6"/>
      <c r="N747" s="83"/>
      <c r="O747" s="83"/>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7"/>
    </row>
    <row r="748" ht="15.75" customHeight="1">
      <c r="A748" s="6"/>
      <c r="B748" s="6"/>
      <c r="C748" s="6"/>
      <c r="D748" s="6"/>
      <c r="E748" s="6"/>
      <c r="F748" s="6"/>
      <c r="G748" s="83"/>
      <c r="H748" s="83"/>
      <c r="I748" s="83"/>
      <c r="J748" s="83"/>
      <c r="K748" s="83"/>
      <c r="L748" s="83"/>
      <c r="M748" s="6"/>
      <c r="N748" s="83"/>
      <c r="O748" s="83"/>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7"/>
    </row>
    <row r="749" ht="15.75" customHeight="1">
      <c r="A749" s="6"/>
      <c r="B749" s="6"/>
      <c r="C749" s="6"/>
      <c r="D749" s="6"/>
      <c r="E749" s="6"/>
      <c r="F749" s="6"/>
      <c r="G749" s="83"/>
      <c r="H749" s="83"/>
      <c r="I749" s="83"/>
      <c r="J749" s="83"/>
      <c r="K749" s="83"/>
      <c r="L749" s="83"/>
      <c r="M749" s="6"/>
      <c r="N749" s="83"/>
      <c r="O749" s="83"/>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7"/>
    </row>
    <row r="750" ht="15.75" customHeight="1">
      <c r="A750" s="6"/>
      <c r="B750" s="6"/>
      <c r="C750" s="6"/>
      <c r="D750" s="6"/>
      <c r="E750" s="6"/>
      <c r="F750" s="6"/>
      <c r="G750" s="83"/>
      <c r="H750" s="83"/>
      <c r="I750" s="83"/>
      <c r="J750" s="83"/>
      <c r="K750" s="83"/>
      <c r="L750" s="83"/>
      <c r="M750" s="6"/>
      <c r="N750" s="83"/>
      <c r="O750" s="83"/>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7"/>
    </row>
    <row r="751" ht="15.75" customHeight="1">
      <c r="A751" s="6"/>
      <c r="B751" s="6"/>
      <c r="C751" s="6"/>
      <c r="D751" s="6"/>
      <c r="E751" s="6"/>
      <c r="F751" s="6"/>
      <c r="G751" s="83"/>
      <c r="H751" s="83"/>
      <c r="I751" s="83"/>
      <c r="J751" s="83"/>
      <c r="K751" s="83"/>
      <c r="L751" s="83"/>
      <c r="M751" s="6"/>
      <c r="N751" s="83"/>
      <c r="O751" s="83"/>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7"/>
    </row>
    <row r="752" ht="15.75" customHeight="1">
      <c r="A752" s="6"/>
      <c r="B752" s="6"/>
      <c r="C752" s="6"/>
      <c r="D752" s="6"/>
      <c r="E752" s="6"/>
      <c r="F752" s="6"/>
      <c r="G752" s="83"/>
      <c r="H752" s="83"/>
      <c r="I752" s="83"/>
      <c r="J752" s="83"/>
      <c r="K752" s="83"/>
      <c r="L752" s="83"/>
      <c r="M752" s="6"/>
      <c r="N752" s="83"/>
      <c r="O752" s="83"/>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7"/>
    </row>
    <row r="753" ht="15.75" customHeight="1">
      <c r="A753" s="6"/>
      <c r="B753" s="6"/>
      <c r="C753" s="6"/>
      <c r="D753" s="6"/>
      <c r="E753" s="6"/>
      <c r="F753" s="6"/>
      <c r="G753" s="83"/>
      <c r="H753" s="83"/>
      <c r="I753" s="83"/>
      <c r="J753" s="83"/>
      <c r="K753" s="83"/>
      <c r="L753" s="83"/>
      <c r="M753" s="6"/>
      <c r="N753" s="83"/>
      <c r="O753" s="83"/>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7"/>
    </row>
    <row r="754" ht="15.75" customHeight="1">
      <c r="A754" s="6"/>
      <c r="B754" s="6"/>
      <c r="C754" s="6"/>
      <c r="D754" s="6"/>
      <c r="E754" s="6"/>
      <c r="F754" s="6"/>
      <c r="G754" s="83"/>
      <c r="H754" s="83"/>
      <c r="I754" s="83"/>
      <c r="J754" s="83"/>
      <c r="K754" s="83"/>
      <c r="L754" s="83"/>
      <c r="M754" s="6"/>
      <c r="N754" s="83"/>
      <c r="O754" s="83"/>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7"/>
    </row>
    <row r="755" ht="15.75" customHeight="1">
      <c r="A755" s="6"/>
      <c r="B755" s="6"/>
      <c r="C755" s="6"/>
      <c r="D755" s="6"/>
      <c r="E755" s="6"/>
      <c r="F755" s="6"/>
      <c r="G755" s="83"/>
      <c r="H755" s="83"/>
      <c r="I755" s="83"/>
      <c r="J755" s="83"/>
      <c r="K755" s="83"/>
      <c r="L755" s="83"/>
      <c r="M755" s="6"/>
      <c r="N755" s="83"/>
      <c r="O755" s="83"/>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7"/>
    </row>
    <row r="756" ht="15.75" customHeight="1">
      <c r="A756" s="6"/>
      <c r="B756" s="6"/>
      <c r="C756" s="6"/>
      <c r="D756" s="6"/>
      <c r="E756" s="6"/>
      <c r="F756" s="6"/>
      <c r="G756" s="83"/>
      <c r="H756" s="83"/>
      <c r="I756" s="83"/>
      <c r="J756" s="83"/>
      <c r="K756" s="83"/>
      <c r="L756" s="83"/>
      <c r="M756" s="6"/>
      <c r="N756" s="83"/>
      <c r="O756" s="83"/>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7"/>
    </row>
    <row r="757" ht="15.75" customHeight="1">
      <c r="A757" s="6"/>
      <c r="B757" s="6"/>
      <c r="C757" s="6"/>
      <c r="D757" s="6"/>
      <c r="E757" s="6"/>
      <c r="F757" s="6"/>
      <c r="G757" s="83"/>
      <c r="H757" s="83"/>
      <c r="I757" s="83"/>
      <c r="J757" s="83"/>
      <c r="K757" s="83"/>
      <c r="L757" s="83"/>
      <c r="M757" s="6"/>
      <c r="N757" s="83"/>
      <c r="O757" s="83"/>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7"/>
    </row>
    <row r="758" ht="15.75" customHeight="1">
      <c r="A758" s="6"/>
      <c r="B758" s="6"/>
      <c r="C758" s="6"/>
      <c r="D758" s="6"/>
      <c r="E758" s="6"/>
      <c r="F758" s="6"/>
      <c r="G758" s="83"/>
      <c r="H758" s="83"/>
      <c r="I758" s="83"/>
      <c r="J758" s="83"/>
      <c r="K758" s="83"/>
      <c r="L758" s="83"/>
      <c r="M758" s="6"/>
      <c r="N758" s="83"/>
      <c r="O758" s="83"/>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7"/>
    </row>
    <row r="759" ht="15.75" customHeight="1">
      <c r="A759" s="6"/>
      <c r="B759" s="6"/>
      <c r="C759" s="6"/>
      <c r="D759" s="6"/>
      <c r="E759" s="6"/>
      <c r="F759" s="6"/>
      <c r="G759" s="83"/>
      <c r="H759" s="83"/>
      <c r="I759" s="83"/>
      <c r="J759" s="83"/>
      <c r="K759" s="83"/>
      <c r="L759" s="83"/>
      <c r="M759" s="6"/>
      <c r="N759" s="83"/>
      <c r="O759" s="83"/>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7"/>
    </row>
    <row r="760" ht="15.75" customHeight="1">
      <c r="A760" s="6"/>
      <c r="B760" s="6"/>
      <c r="C760" s="6"/>
      <c r="D760" s="6"/>
      <c r="E760" s="6"/>
      <c r="F760" s="6"/>
      <c r="G760" s="83"/>
      <c r="H760" s="83"/>
      <c r="I760" s="83"/>
      <c r="J760" s="83"/>
      <c r="K760" s="83"/>
      <c r="L760" s="83"/>
      <c r="M760" s="6"/>
      <c r="N760" s="83"/>
      <c r="O760" s="83"/>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7"/>
    </row>
    <row r="761" ht="15.75" customHeight="1">
      <c r="A761" s="6"/>
      <c r="B761" s="6"/>
      <c r="C761" s="6"/>
      <c r="D761" s="6"/>
      <c r="E761" s="6"/>
      <c r="F761" s="6"/>
      <c r="G761" s="83"/>
      <c r="H761" s="83"/>
      <c r="I761" s="83"/>
      <c r="J761" s="83"/>
      <c r="K761" s="83"/>
      <c r="L761" s="83"/>
      <c r="M761" s="6"/>
      <c r="N761" s="83"/>
      <c r="O761" s="83"/>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7"/>
    </row>
    <row r="762" ht="15.75" customHeight="1">
      <c r="A762" s="6"/>
      <c r="B762" s="6"/>
      <c r="C762" s="6"/>
      <c r="D762" s="6"/>
      <c r="E762" s="6"/>
      <c r="F762" s="6"/>
      <c r="G762" s="83"/>
      <c r="H762" s="83"/>
      <c r="I762" s="83"/>
      <c r="J762" s="83"/>
      <c r="K762" s="83"/>
      <c r="L762" s="83"/>
      <c r="M762" s="6"/>
      <c r="N762" s="83"/>
      <c r="O762" s="83"/>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7"/>
    </row>
    <row r="763" ht="15.75" customHeight="1">
      <c r="A763" s="6"/>
      <c r="B763" s="6"/>
      <c r="C763" s="6"/>
      <c r="D763" s="6"/>
      <c r="E763" s="6"/>
      <c r="F763" s="6"/>
      <c r="G763" s="83"/>
      <c r="H763" s="83"/>
      <c r="I763" s="83"/>
      <c r="J763" s="83"/>
      <c r="K763" s="83"/>
      <c r="L763" s="83"/>
      <c r="M763" s="6"/>
      <c r="N763" s="83"/>
      <c r="O763" s="83"/>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7"/>
    </row>
    <row r="764" ht="15.75" customHeight="1">
      <c r="A764" s="6"/>
      <c r="B764" s="6"/>
      <c r="C764" s="6"/>
      <c r="D764" s="6"/>
      <c r="E764" s="6"/>
      <c r="F764" s="6"/>
      <c r="G764" s="83"/>
      <c r="H764" s="83"/>
      <c r="I764" s="83"/>
      <c r="J764" s="83"/>
      <c r="K764" s="83"/>
      <c r="L764" s="83"/>
      <c r="M764" s="6"/>
      <c r="N764" s="83"/>
      <c r="O764" s="83"/>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7"/>
    </row>
    <row r="765" ht="15.75" customHeight="1">
      <c r="A765" s="6"/>
      <c r="B765" s="6"/>
      <c r="C765" s="6"/>
      <c r="D765" s="6"/>
      <c r="E765" s="6"/>
      <c r="F765" s="6"/>
      <c r="G765" s="83"/>
      <c r="H765" s="83"/>
      <c r="I765" s="83"/>
      <c r="J765" s="83"/>
      <c r="K765" s="83"/>
      <c r="L765" s="83"/>
      <c r="M765" s="6"/>
      <c r="N765" s="83"/>
      <c r="O765" s="83"/>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7"/>
    </row>
    <row r="766" ht="15.75" customHeight="1">
      <c r="A766" s="6"/>
      <c r="B766" s="6"/>
      <c r="C766" s="6"/>
      <c r="D766" s="6"/>
      <c r="E766" s="6"/>
      <c r="F766" s="6"/>
      <c r="G766" s="83"/>
      <c r="H766" s="83"/>
      <c r="I766" s="83"/>
      <c r="J766" s="83"/>
      <c r="K766" s="83"/>
      <c r="L766" s="83"/>
      <c r="M766" s="6"/>
      <c r="N766" s="83"/>
      <c r="O766" s="83"/>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7"/>
    </row>
    <row r="767" ht="15.75" customHeight="1">
      <c r="A767" s="6"/>
      <c r="B767" s="6"/>
      <c r="C767" s="6"/>
      <c r="D767" s="6"/>
      <c r="E767" s="6"/>
      <c r="F767" s="6"/>
      <c r="G767" s="83"/>
      <c r="H767" s="83"/>
      <c r="I767" s="83"/>
      <c r="J767" s="83"/>
      <c r="K767" s="83"/>
      <c r="L767" s="83"/>
      <c r="M767" s="6"/>
      <c r="N767" s="83"/>
      <c r="O767" s="83"/>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7"/>
    </row>
    <row r="768" ht="15.75" customHeight="1">
      <c r="A768" s="6"/>
      <c r="B768" s="6"/>
      <c r="C768" s="6"/>
      <c r="D768" s="6"/>
      <c r="E768" s="6"/>
      <c r="F768" s="6"/>
      <c r="G768" s="83"/>
      <c r="H768" s="83"/>
      <c r="I768" s="83"/>
      <c r="J768" s="83"/>
      <c r="K768" s="83"/>
      <c r="L768" s="83"/>
      <c r="M768" s="6"/>
      <c r="N768" s="83"/>
      <c r="O768" s="83"/>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7"/>
    </row>
    <row r="769" ht="15.75" customHeight="1">
      <c r="A769" s="6"/>
      <c r="B769" s="6"/>
      <c r="C769" s="6"/>
      <c r="D769" s="6"/>
      <c r="E769" s="6"/>
      <c r="F769" s="6"/>
      <c r="G769" s="83"/>
      <c r="H769" s="83"/>
      <c r="I769" s="83"/>
      <c r="J769" s="83"/>
      <c r="K769" s="83"/>
      <c r="L769" s="83"/>
      <c r="M769" s="6"/>
      <c r="N769" s="83"/>
      <c r="O769" s="83"/>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7"/>
    </row>
    <row r="770" ht="15.75" customHeight="1">
      <c r="A770" s="6"/>
      <c r="B770" s="6"/>
      <c r="C770" s="6"/>
      <c r="D770" s="6"/>
      <c r="E770" s="6"/>
      <c r="F770" s="6"/>
      <c r="G770" s="83"/>
      <c r="H770" s="83"/>
      <c r="I770" s="83"/>
      <c r="J770" s="83"/>
      <c r="K770" s="83"/>
      <c r="L770" s="83"/>
      <c r="M770" s="6"/>
      <c r="N770" s="83"/>
      <c r="O770" s="83"/>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7"/>
    </row>
    <row r="771" ht="15.75" customHeight="1">
      <c r="A771" s="6"/>
      <c r="B771" s="6"/>
      <c r="C771" s="6"/>
      <c r="D771" s="6"/>
      <c r="E771" s="6"/>
      <c r="F771" s="6"/>
      <c r="G771" s="83"/>
      <c r="H771" s="83"/>
      <c r="I771" s="83"/>
      <c r="J771" s="83"/>
      <c r="K771" s="83"/>
      <c r="L771" s="83"/>
      <c r="M771" s="6"/>
      <c r="N771" s="83"/>
      <c r="O771" s="83"/>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7"/>
    </row>
    <row r="772" ht="15.75" customHeight="1">
      <c r="A772" s="6"/>
      <c r="B772" s="6"/>
      <c r="C772" s="6"/>
      <c r="D772" s="6"/>
      <c r="E772" s="6"/>
      <c r="F772" s="6"/>
      <c r="G772" s="83"/>
      <c r="H772" s="83"/>
      <c r="I772" s="83"/>
      <c r="J772" s="83"/>
      <c r="K772" s="83"/>
      <c r="L772" s="83"/>
      <c r="M772" s="6"/>
      <c r="N772" s="83"/>
      <c r="O772" s="83"/>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7"/>
    </row>
    <row r="773" ht="15.75" customHeight="1">
      <c r="A773" s="6"/>
      <c r="B773" s="6"/>
      <c r="C773" s="6"/>
      <c r="D773" s="6"/>
      <c r="E773" s="6"/>
      <c r="F773" s="6"/>
      <c r="G773" s="83"/>
      <c r="H773" s="83"/>
      <c r="I773" s="83"/>
      <c r="J773" s="83"/>
      <c r="K773" s="83"/>
      <c r="L773" s="83"/>
      <c r="M773" s="6"/>
      <c r="N773" s="83"/>
      <c r="O773" s="83"/>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7"/>
    </row>
    <row r="774" ht="15.75" customHeight="1">
      <c r="A774" s="6"/>
      <c r="B774" s="6"/>
      <c r="C774" s="6"/>
      <c r="D774" s="6"/>
      <c r="E774" s="6"/>
      <c r="F774" s="6"/>
      <c r="G774" s="83"/>
      <c r="H774" s="83"/>
      <c r="I774" s="83"/>
      <c r="J774" s="83"/>
      <c r="K774" s="83"/>
      <c r="L774" s="83"/>
      <c r="M774" s="6"/>
      <c r="N774" s="83"/>
      <c r="O774" s="83"/>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7"/>
    </row>
    <row r="775" ht="15.75" customHeight="1">
      <c r="A775" s="6"/>
      <c r="B775" s="6"/>
      <c r="C775" s="6"/>
      <c r="D775" s="6"/>
      <c r="E775" s="6"/>
      <c r="F775" s="6"/>
      <c r="G775" s="83"/>
      <c r="H775" s="83"/>
      <c r="I775" s="83"/>
      <c r="J775" s="83"/>
      <c r="K775" s="83"/>
      <c r="L775" s="83"/>
      <c r="M775" s="6"/>
      <c r="N775" s="83"/>
      <c r="O775" s="83"/>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7"/>
    </row>
    <row r="776" ht="15.75" customHeight="1">
      <c r="A776" s="6"/>
      <c r="B776" s="6"/>
      <c r="C776" s="6"/>
      <c r="D776" s="6"/>
      <c r="E776" s="6"/>
      <c r="F776" s="6"/>
      <c r="G776" s="83"/>
      <c r="H776" s="83"/>
      <c r="I776" s="83"/>
      <c r="J776" s="83"/>
      <c r="K776" s="83"/>
      <c r="L776" s="83"/>
      <c r="M776" s="6"/>
      <c r="N776" s="83"/>
      <c r="O776" s="83"/>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7"/>
    </row>
    <row r="777" ht="15.75" customHeight="1">
      <c r="A777" s="6"/>
      <c r="B777" s="6"/>
      <c r="C777" s="6"/>
      <c r="D777" s="6"/>
      <c r="E777" s="6"/>
      <c r="F777" s="6"/>
      <c r="G777" s="83"/>
      <c r="H777" s="83"/>
      <c r="I777" s="83"/>
      <c r="J777" s="83"/>
      <c r="K777" s="83"/>
      <c r="L777" s="83"/>
      <c r="M777" s="6"/>
      <c r="N777" s="83"/>
      <c r="O777" s="83"/>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7"/>
    </row>
    <row r="778" ht="15.75" customHeight="1">
      <c r="A778" s="6"/>
      <c r="B778" s="6"/>
      <c r="C778" s="6"/>
      <c r="D778" s="6"/>
      <c r="E778" s="6"/>
      <c r="F778" s="6"/>
      <c r="G778" s="83"/>
      <c r="H778" s="83"/>
      <c r="I778" s="83"/>
      <c r="J778" s="83"/>
      <c r="K778" s="83"/>
      <c r="L778" s="83"/>
      <c r="M778" s="6"/>
      <c r="N778" s="83"/>
      <c r="O778" s="83"/>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7"/>
    </row>
    <row r="779" ht="15.75" customHeight="1">
      <c r="A779" s="6"/>
      <c r="B779" s="6"/>
      <c r="C779" s="6"/>
      <c r="D779" s="6"/>
      <c r="E779" s="6"/>
      <c r="F779" s="6"/>
      <c r="G779" s="83"/>
      <c r="H779" s="83"/>
      <c r="I779" s="83"/>
      <c r="J779" s="83"/>
      <c r="K779" s="83"/>
      <c r="L779" s="83"/>
      <c r="M779" s="6"/>
      <c r="N779" s="83"/>
      <c r="O779" s="83"/>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7"/>
    </row>
    <row r="780" ht="15.75" customHeight="1">
      <c r="A780" s="6"/>
      <c r="B780" s="6"/>
      <c r="C780" s="6"/>
      <c r="D780" s="6"/>
      <c r="E780" s="6"/>
      <c r="F780" s="6"/>
      <c r="G780" s="83"/>
      <c r="H780" s="83"/>
      <c r="I780" s="83"/>
      <c r="J780" s="83"/>
      <c r="K780" s="83"/>
      <c r="L780" s="83"/>
      <c r="M780" s="6"/>
      <c r="N780" s="83"/>
      <c r="O780" s="83"/>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7"/>
    </row>
    <row r="781" ht="15.75" customHeight="1">
      <c r="A781" s="6"/>
      <c r="B781" s="6"/>
      <c r="C781" s="6"/>
      <c r="D781" s="6"/>
      <c r="E781" s="6"/>
      <c r="F781" s="6"/>
      <c r="G781" s="83"/>
      <c r="H781" s="83"/>
      <c r="I781" s="83"/>
      <c r="J781" s="83"/>
      <c r="K781" s="83"/>
      <c r="L781" s="83"/>
      <c r="M781" s="6"/>
      <c r="N781" s="83"/>
      <c r="O781" s="83"/>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7"/>
    </row>
    <row r="782" ht="15.75" customHeight="1">
      <c r="A782" s="6"/>
      <c r="B782" s="6"/>
      <c r="C782" s="6"/>
      <c r="D782" s="6"/>
      <c r="E782" s="6"/>
      <c r="F782" s="6"/>
      <c r="G782" s="83"/>
      <c r="H782" s="83"/>
      <c r="I782" s="83"/>
      <c r="J782" s="83"/>
      <c r="K782" s="83"/>
      <c r="L782" s="83"/>
      <c r="M782" s="6"/>
      <c r="N782" s="83"/>
      <c r="O782" s="83"/>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7"/>
    </row>
    <row r="783" ht="15.75" customHeight="1">
      <c r="A783" s="6"/>
      <c r="B783" s="6"/>
      <c r="C783" s="6"/>
      <c r="D783" s="6"/>
      <c r="E783" s="6"/>
      <c r="F783" s="6"/>
      <c r="G783" s="83"/>
      <c r="H783" s="83"/>
      <c r="I783" s="83"/>
      <c r="J783" s="83"/>
      <c r="K783" s="83"/>
      <c r="L783" s="83"/>
      <c r="M783" s="6"/>
      <c r="N783" s="83"/>
      <c r="O783" s="83"/>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7"/>
    </row>
    <row r="784" ht="15.75" customHeight="1">
      <c r="A784" s="6"/>
      <c r="B784" s="6"/>
      <c r="C784" s="6"/>
      <c r="D784" s="6"/>
      <c r="E784" s="6"/>
      <c r="F784" s="6"/>
      <c r="G784" s="83"/>
      <c r="H784" s="83"/>
      <c r="I784" s="83"/>
      <c r="J784" s="83"/>
      <c r="K784" s="83"/>
      <c r="L784" s="83"/>
      <c r="M784" s="6"/>
      <c r="N784" s="83"/>
      <c r="O784" s="83"/>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7"/>
    </row>
    <row r="785" ht="15.75" customHeight="1">
      <c r="A785" s="6"/>
      <c r="B785" s="6"/>
      <c r="C785" s="6"/>
      <c r="D785" s="6"/>
      <c r="E785" s="6"/>
      <c r="F785" s="6"/>
      <c r="G785" s="83"/>
      <c r="H785" s="83"/>
      <c r="I785" s="83"/>
      <c r="J785" s="83"/>
      <c r="K785" s="83"/>
      <c r="L785" s="83"/>
      <c r="M785" s="6"/>
      <c r="N785" s="83"/>
      <c r="O785" s="83"/>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7"/>
    </row>
    <row r="786" ht="15.75" customHeight="1">
      <c r="A786" s="6"/>
      <c r="B786" s="6"/>
      <c r="C786" s="6"/>
      <c r="D786" s="6"/>
      <c r="E786" s="6"/>
      <c r="F786" s="6"/>
      <c r="G786" s="83"/>
      <c r="H786" s="83"/>
      <c r="I786" s="83"/>
      <c r="J786" s="83"/>
      <c r="K786" s="83"/>
      <c r="L786" s="83"/>
      <c r="M786" s="6"/>
      <c r="N786" s="83"/>
      <c r="O786" s="83"/>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7"/>
    </row>
    <row r="787" ht="15.75" customHeight="1">
      <c r="A787" s="6"/>
      <c r="B787" s="6"/>
      <c r="C787" s="6"/>
      <c r="D787" s="6"/>
      <c r="E787" s="6"/>
      <c r="F787" s="6"/>
      <c r="G787" s="83"/>
      <c r="H787" s="83"/>
      <c r="I787" s="83"/>
      <c r="J787" s="83"/>
      <c r="K787" s="83"/>
      <c r="L787" s="83"/>
      <c r="M787" s="6"/>
      <c r="N787" s="83"/>
      <c r="O787" s="83"/>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7"/>
    </row>
    <row r="788" ht="15.75" customHeight="1">
      <c r="A788" s="6"/>
      <c r="B788" s="6"/>
      <c r="C788" s="6"/>
      <c r="D788" s="6"/>
      <c r="E788" s="6"/>
      <c r="F788" s="6"/>
      <c r="G788" s="83"/>
      <c r="H788" s="83"/>
      <c r="I788" s="83"/>
      <c r="J788" s="83"/>
      <c r="K788" s="83"/>
      <c r="L788" s="83"/>
      <c r="M788" s="6"/>
      <c r="N788" s="83"/>
      <c r="O788" s="83"/>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7"/>
    </row>
    <row r="789" ht="15.75" customHeight="1">
      <c r="A789" s="6"/>
      <c r="B789" s="6"/>
      <c r="C789" s="6"/>
      <c r="D789" s="6"/>
      <c r="E789" s="6"/>
      <c r="F789" s="6"/>
      <c r="G789" s="83"/>
      <c r="H789" s="83"/>
      <c r="I789" s="83"/>
      <c r="J789" s="83"/>
      <c r="K789" s="83"/>
      <c r="L789" s="83"/>
      <c r="M789" s="6"/>
      <c r="N789" s="83"/>
      <c r="O789" s="83"/>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7"/>
    </row>
    <row r="790" ht="15.75" customHeight="1">
      <c r="A790" s="6"/>
      <c r="B790" s="6"/>
      <c r="C790" s="6"/>
      <c r="D790" s="6"/>
      <c r="E790" s="6"/>
      <c r="F790" s="6"/>
      <c r="G790" s="83"/>
      <c r="H790" s="83"/>
      <c r="I790" s="83"/>
      <c r="J790" s="83"/>
      <c r="K790" s="83"/>
      <c r="L790" s="83"/>
      <c r="M790" s="6"/>
      <c r="N790" s="83"/>
      <c r="O790" s="83"/>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7"/>
    </row>
    <row r="791" ht="15.75" customHeight="1">
      <c r="A791" s="6"/>
      <c r="B791" s="6"/>
      <c r="C791" s="6"/>
      <c r="D791" s="6"/>
      <c r="E791" s="6"/>
      <c r="F791" s="6"/>
      <c r="G791" s="83"/>
      <c r="H791" s="83"/>
      <c r="I791" s="83"/>
      <c r="J791" s="83"/>
      <c r="K791" s="83"/>
      <c r="L791" s="83"/>
      <c r="M791" s="6"/>
      <c r="N791" s="83"/>
      <c r="O791" s="83"/>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7"/>
    </row>
    <row r="792" ht="15.75" customHeight="1">
      <c r="A792" s="6"/>
      <c r="B792" s="6"/>
      <c r="C792" s="6"/>
      <c r="D792" s="6"/>
      <c r="E792" s="6"/>
      <c r="F792" s="6"/>
      <c r="G792" s="83"/>
      <c r="H792" s="83"/>
      <c r="I792" s="83"/>
      <c r="J792" s="83"/>
      <c r="K792" s="83"/>
      <c r="L792" s="83"/>
      <c r="M792" s="6"/>
      <c r="N792" s="83"/>
      <c r="O792" s="83"/>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7"/>
    </row>
    <row r="793" ht="15.75" customHeight="1">
      <c r="A793" s="6"/>
      <c r="B793" s="6"/>
      <c r="C793" s="6"/>
      <c r="D793" s="6"/>
      <c r="E793" s="6"/>
      <c r="F793" s="6"/>
      <c r="G793" s="83"/>
      <c r="H793" s="83"/>
      <c r="I793" s="83"/>
      <c r="J793" s="83"/>
      <c r="K793" s="83"/>
      <c r="L793" s="83"/>
      <c r="M793" s="6"/>
      <c r="N793" s="83"/>
      <c r="O793" s="83"/>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7"/>
    </row>
    <row r="794" ht="15.75" customHeight="1">
      <c r="A794" s="6"/>
      <c r="B794" s="6"/>
      <c r="C794" s="6"/>
      <c r="D794" s="6"/>
      <c r="E794" s="6"/>
      <c r="F794" s="6"/>
      <c r="G794" s="83"/>
      <c r="H794" s="83"/>
      <c r="I794" s="83"/>
      <c r="J794" s="83"/>
      <c r="K794" s="83"/>
      <c r="L794" s="83"/>
      <c r="M794" s="6"/>
      <c r="N794" s="83"/>
      <c r="O794" s="83"/>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7"/>
    </row>
    <row r="795" ht="15.75" customHeight="1">
      <c r="A795" s="6"/>
      <c r="B795" s="6"/>
      <c r="C795" s="6"/>
      <c r="D795" s="6"/>
      <c r="E795" s="6"/>
      <c r="F795" s="6"/>
      <c r="G795" s="83"/>
      <c r="H795" s="83"/>
      <c r="I795" s="83"/>
      <c r="J795" s="83"/>
      <c r="K795" s="83"/>
      <c r="L795" s="83"/>
      <c r="M795" s="6"/>
      <c r="N795" s="83"/>
      <c r="O795" s="83"/>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7"/>
    </row>
    <row r="796" ht="15.75" customHeight="1">
      <c r="A796" s="6"/>
      <c r="B796" s="6"/>
      <c r="C796" s="6"/>
      <c r="D796" s="6"/>
      <c r="E796" s="6"/>
      <c r="F796" s="6"/>
      <c r="G796" s="83"/>
      <c r="H796" s="83"/>
      <c r="I796" s="83"/>
      <c r="J796" s="83"/>
      <c r="K796" s="83"/>
      <c r="L796" s="83"/>
      <c r="M796" s="6"/>
      <c r="N796" s="83"/>
      <c r="O796" s="83"/>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7"/>
    </row>
    <row r="797" ht="15.75" customHeight="1">
      <c r="A797" s="6"/>
      <c r="B797" s="6"/>
      <c r="C797" s="6"/>
      <c r="D797" s="6"/>
      <c r="E797" s="6"/>
      <c r="F797" s="6"/>
      <c r="G797" s="83"/>
      <c r="H797" s="83"/>
      <c r="I797" s="83"/>
      <c r="J797" s="83"/>
      <c r="K797" s="83"/>
      <c r="L797" s="83"/>
      <c r="M797" s="6"/>
      <c r="N797" s="83"/>
      <c r="O797" s="83"/>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7"/>
    </row>
    <row r="798" ht="15.75" customHeight="1">
      <c r="A798" s="6"/>
      <c r="B798" s="6"/>
      <c r="C798" s="6"/>
      <c r="D798" s="6"/>
      <c r="E798" s="6"/>
      <c r="F798" s="6"/>
      <c r="G798" s="83"/>
      <c r="H798" s="83"/>
      <c r="I798" s="83"/>
      <c r="J798" s="83"/>
      <c r="K798" s="83"/>
      <c r="L798" s="83"/>
      <c r="M798" s="6"/>
      <c r="N798" s="83"/>
      <c r="O798" s="83"/>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7"/>
    </row>
    <row r="799" ht="15.75" customHeight="1">
      <c r="A799" s="6"/>
      <c r="B799" s="6"/>
      <c r="C799" s="6"/>
      <c r="D799" s="6"/>
      <c r="E799" s="6"/>
      <c r="F799" s="6"/>
      <c r="G799" s="83"/>
      <c r="H799" s="83"/>
      <c r="I799" s="83"/>
      <c r="J799" s="83"/>
      <c r="K799" s="83"/>
      <c r="L799" s="83"/>
      <c r="M799" s="6"/>
      <c r="N799" s="83"/>
      <c r="O799" s="83"/>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7"/>
    </row>
    <row r="800" ht="15.75" customHeight="1">
      <c r="A800" s="6"/>
      <c r="B800" s="6"/>
      <c r="C800" s="6"/>
      <c r="D800" s="6"/>
      <c r="E800" s="6"/>
      <c r="F800" s="6"/>
      <c r="G800" s="83"/>
      <c r="H800" s="83"/>
      <c r="I800" s="83"/>
      <c r="J800" s="83"/>
      <c r="K800" s="83"/>
      <c r="L800" s="83"/>
      <c r="M800" s="6"/>
      <c r="N800" s="83"/>
      <c r="O800" s="83"/>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7"/>
    </row>
    <row r="801" ht="15.75" customHeight="1">
      <c r="A801" s="6"/>
      <c r="B801" s="6"/>
      <c r="C801" s="6"/>
      <c r="D801" s="6"/>
      <c r="E801" s="6"/>
      <c r="F801" s="6"/>
      <c r="G801" s="83"/>
      <c r="H801" s="83"/>
      <c r="I801" s="83"/>
      <c r="J801" s="83"/>
      <c r="K801" s="83"/>
      <c r="L801" s="83"/>
      <c r="M801" s="6"/>
      <c r="N801" s="83"/>
      <c r="O801" s="83"/>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7"/>
    </row>
    <row r="802" ht="15.75" customHeight="1">
      <c r="A802" s="6"/>
      <c r="B802" s="6"/>
      <c r="C802" s="6"/>
      <c r="D802" s="6"/>
      <c r="E802" s="6"/>
      <c r="F802" s="6"/>
      <c r="G802" s="83"/>
      <c r="H802" s="83"/>
      <c r="I802" s="83"/>
      <c r="J802" s="83"/>
      <c r="K802" s="83"/>
      <c r="L802" s="83"/>
      <c r="M802" s="6"/>
      <c r="N802" s="83"/>
      <c r="O802" s="83"/>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7"/>
    </row>
    <row r="803" ht="15.75" customHeight="1">
      <c r="A803" s="6"/>
      <c r="B803" s="6"/>
      <c r="C803" s="6"/>
      <c r="D803" s="6"/>
      <c r="E803" s="6"/>
      <c r="F803" s="6"/>
      <c r="G803" s="83"/>
      <c r="H803" s="83"/>
      <c r="I803" s="83"/>
      <c r="J803" s="83"/>
      <c r="K803" s="83"/>
      <c r="L803" s="83"/>
      <c r="M803" s="6"/>
      <c r="N803" s="83"/>
      <c r="O803" s="83"/>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7"/>
    </row>
    <row r="804" ht="15.75" customHeight="1">
      <c r="A804" s="6"/>
      <c r="B804" s="6"/>
      <c r="C804" s="6"/>
      <c r="D804" s="6"/>
      <c r="E804" s="6"/>
      <c r="F804" s="6"/>
      <c r="G804" s="83"/>
      <c r="H804" s="83"/>
      <c r="I804" s="83"/>
      <c r="J804" s="83"/>
      <c r="K804" s="83"/>
      <c r="L804" s="83"/>
      <c r="M804" s="6"/>
      <c r="N804" s="83"/>
      <c r="O804" s="83"/>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7"/>
    </row>
    <row r="805" ht="15.75" customHeight="1">
      <c r="A805" s="6"/>
      <c r="B805" s="6"/>
      <c r="C805" s="6"/>
      <c r="D805" s="6"/>
      <c r="E805" s="6"/>
      <c r="F805" s="6"/>
      <c r="G805" s="83"/>
      <c r="H805" s="83"/>
      <c r="I805" s="83"/>
      <c r="J805" s="83"/>
      <c r="K805" s="83"/>
      <c r="L805" s="83"/>
      <c r="M805" s="6"/>
      <c r="N805" s="83"/>
      <c r="O805" s="83"/>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7"/>
    </row>
    <row r="806" ht="15.75" customHeight="1">
      <c r="A806" s="6"/>
      <c r="B806" s="6"/>
      <c r="C806" s="6"/>
      <c r="D806" s="6"/>
      <c r="E806" s="6"/>
      <c r="F806" s="6"/>
      <c r="G806" s="83"/>
      <c r="H806" s="83"/>
      <c r="I806" s="83"/>
      <c r="J806" s="83"/>
      <c r="K806" s="83"/>
      <c r="L806" s="83"/>
      <c r="M806" s="6"/>
      <c r="N806" s="83"/>
      <c r="O806" s="83"/>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7"/>
    </row>
    <row r="807" ht="15.75" customHeight="1">
      <c r="A807" s="6"/>
      <c r="B807" s="6"/>
      <c r="C807" s="6"/>
      <c r="D807" s="6"/>
      <c r="E807" s="6"/>
      <c r="F807" s="6"/>
      <c r="G807" s="83"/>
      <c r="H807" s="83"/>
      <c r="I807" s="83"/>
      <c r="J807" s="83"/>
      <c r="K807" s="83"/>
      <c r="L807" s="83"/>
      <c r="M807" s="6"/>
      <c r="N807" s="83"/>
      <c r="O807" s="83"/>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7"/>
    </row>
    <row r="808" ht="15.75" customHeight="1">
      <c r="A808" s="6"/>
      <c r="B808" s="6"/>
      <c r="C808" s="6"/>
      <c r="D808" s="6"/>
      <c r="E808" s="6"/>
      <c r="F808" s="6"/>
      <c r="G808" s="83"/>
      <c r="H808" s="83"/>
      <c r="I808" s="83"/>
      <c r="J808" s="83"/>
      <c r="K808" s="83"/>
      <c r="L808" s="83"/>
      <c r="M808" s="6"/>
      <c r="N808" s="83"/>
      <c r="O808" s="83"/>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7"/>
    </row>
    <row r="809" ht="15.75" customHeight="1">
      <c r="A809" s="6"/>
      <c r="B809" s="6"/>
      <c r="C809" s="6"/>
      <c r="D809" s="6"/>
      <c r="E809" s="6"/>
      <c r="F809" s="6"/>
      <c r="G809" s="83"/>
      <c r="H809" s="83"/>
      <c r="I809" s="83"/>
      <c r="J809" s="83"/>
      <c r="K809" s="83"/>
      <c r="L809" s="83"/>
      <c r="M809" s="6"/>
      <c r="N809" s="83"/>
      <c r="O809" s="83"/>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7"/>
    </row>
    <row r="810" ht="15.75" customHeight="1">
      <c r="A810" s="6"/>
      <c r="B810" s="6"/>
      <c r="C810" s="6"/>
      <c r="D810" s="6"/>
      <c r="E810" s="6"/>
      <c r="F810" s="6"/>
      <c r="G810" s="83"/>
      <c r="H810" s="83"/>
      <c r="I810" s="83"/>
      <c r="J810" s="83"/>
      <c r="K810" s="83"/>
      <c r="L810" s="83"/>
      <c r="M810" s="6"/>
      <c r="N810" s="83"/>
      <c r="O810" s="83"/>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7"/>
    </row>
    <row r="811" ht="15.75" customHeight="1">
      <c r="A811" s="6"/>
      <c r="B811" s="6"/>
      <c r="C811" s="6"/>
      <c r="D811" s="6"/>
      <c r="E811" s="6"/>
      <c r="F811" s="6"/>
      <c r="G811" s="83"/>
      <c r="H811" s="83"/>
      <c r="I811" s="83"/>
      <c r="J811" s="83"/>
      <c r="K811" s="83"/>
      <c r="L811" s="83"/>
      <c r="M811" s="6"/>
      <c r="N811" s="83"/>
      <c r="O811" s="83"/>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7"/>
    </row>
    <row r="812" ht="15.75" customHeight="1">
      <c r="A812" s="6"/>
      <c r="B812" s="6"/>
      <c r="C812" s="6"/>
      <c r="D812" s="6"/>
      <c r="E812" s="6"/>
      <c r="F812" s="6"/>
      <c r="G812" s="83"/>
      <c r="H812" s="83"/>
      <c r="I812" s="83"/>
      <c r="J812" s="83"/>
      <c r="K812" s="83"/>
      <c r="L812" s="83"/>
      <c r="M812" s="6"/>
      <c r="N812" s="83"/>
      <c r="O812" s="83"/>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7"/>
    </row>
    <row r="813" ht="15.75" customHeight="1">
      <c r="A813" s="6"/>
      <c r="B813" s="6"/>
      <c r="C813" s="6"/>
      <c r="D813" s="6"/>
      <c r="E813" s="6"/>
      <c r="F813" s="6"/>
      <c r="G813" s="83"/>
      <c r="H813" s="83"/>
      <c r="I813" s="83"/>
      <c r="J813" s="83"/>
      <c r="K813" s="83"/>
      <c r="L813" s="83"/>
      <c r="M813" s="6"/>
      <c r="N813" s="83"/>
      <c r="O813" s="83"/>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7"/>
    </row>
    <row r="814" ht="15.75" customHeight="1">
      <c r="A814" s="6"/>
      <c r="B814" s="6"/>
      <c r="C814" s="6"/>
      <c r="D814" s="6"/>
      <c r="E814" s="6"/>
      <c r="F814" s="6"/>
      <c r="G814" s="83"/>
      <c r="H814" s="83"/>
      <c r="I814" s="83"/>
      <c r="J814" s="83"/>
      <c r="K814" s="83"/>
      <c r="L814" s="83"/>
      <c r="M814" s="6"/>
      <c r="N814" s="83"/>
      <c r="O814" s="83"/>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7"/>
    </row>
    <row r="815" ht="15.75" customHeight="1">
      <c r="A815" s="6"/>
      <c r="B815" s="6"/>
      <c r="C815" s="6"/>
      <c r="D815" s="6"/>
      <c r="E815" s="6"/>
      <c r="F815" s="6"/>
      <c r="G815" s="83"/>
      <c r="H815" s="83"/>
      <c r="I815" s="83"/>
      <c r="J815" s="83"/>
      <c r="K815" s="83"/>
      <c r="L815" s="83"/>
      <c r="M815" s="6"/>
      <c r="N815" s="83"/>
      <c r="O815" s="83"/>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7"/>
    </row>
    <row r="816" ht="15.75" customHeight="1">
      <c r="A816" s="6"/>
      <c r="B816" s="6"/>
      <c r="C816" s="6"/>
      <c r="D816" s="6"/>
      <c r="E816" s="6"/>
      <c r="F816" s="6"/>
      <c r="G816" s="83"/>
      <c r="H816" s="83"/>
      <c r="I816" s="83"/>
      <c r="J816" s="83"/>
      <c r="K816" s="83"/>
      <c r="L816" s="83"/>
      <c r="M816" s="6"/>
      <c r="N816" s="83"/>
      <c r="O816" s="83"/>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7"/>
    </row>
    <row r="817" ht="15.75" customHeight="1">
      <c r="A817" s="6"/>
      <c r="B817" s="6"/>
      <c r="C817" s="6"/>
      <c r="D817" s="6"/>
      <c r="E817" s="6"/>
      <c r="F817" s="6"/>
      <c r="G817" s="83"/>
      <c r="H817" s="83"/>
      <c r="I817" s="83"/>
      <c r="J817" s="83"/>
      <c r="K817" s="83"/>
      <c r="L817" s="83"/>
      <c r="M817" s="6"/>
      <c r="N817" s="83"/>
      <c r="O817" s="83"/>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7"/>
    </row>
    <row r="818" ht="15.75" customHeight="1">
      <c r="A818" s="6"/>
      <c r="B818" s="6"/>
      <c r="C818" s="6"/>
      <c r="D818" s="6"/>
      <c r="E818" s="6"/>
      <c r="F818" s="6"/>
      <c r="G818" s="83"/>
      <c r="H818" s="83"/>
      <c r="I818" s="83"/>
      <c r="J818" s="83"/>
      <c r="K818" s="83"/>
      <c r="L818" s="83"/>
      <c r="M818" s="6"/>
      <c r="N818" s="83"/>
      <c r="O818" s="83"/>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7"/>
    </row>
    <row r="819" ht="15.75" customHeight="1">
      <c r="A819" s="6"/>
      <c r="B819" s="6"/>
      <c r="C819" s="6"/>
      <c r="D819" s="6"/>
      <c r="E819" s="6"/>
      <c r="F819" s="6"/>
      <c r="G819" s="83"/>
      <c r="H819" s="83"/>
      <c r="I819" s="83"/>
      <c r="J819" s="83"/>
      <c r="K819" s="83"/>
      <c r="L819" s="83"/>
      <c r="M819" s="6"/>
      <c r="N819" s="83"/>
      <c r="O819" s="83"/>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7"/>
    </row>
    <row r="820" ht="15.75" customHeight="1">
      <c r="A820" s="6"/>
      <c r="B820" s="6"/>
      <c r="C820" s="6"/>
      <c r="D820" s="6"/>
      <c r="E820" s="6"/>
      <c r="F820" s="6"/>
      <c r="G820" s="83"/>
      <c r="H820" s="83"/>
      <c r="I820" s="83"/>
      <c r="J820" s="83"/>
      <c r="K820" s="83"/>
      <c r="L820" s="83"/>
      <c r="M820" s="6"/>
      <c r="N820" s="83"/>
      <c r="O820" s="83"/>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7"/>
    </row>
    <row r="821" ht="15.75" customHeight="1">
      <c r="A821" s="6"/>
      <c r="B821" s="6"/>
      <c r="C821" s="6"/>
      <c r="D821" s="6"/>
      <c r="E821" s="6"/>
      <c r="F821" s="6"/>
      <c r="G821" s="83"/>
      <c r="H821" s="83"/>
      <c r="I821" s="83"/>
      <c r="J821" s="83"/>
      <c r="K821" s="83"/>
      <c r="L821" s="83"/>
      <c r="M821" s="6"/>
      <c r="N821" s="83"/>
      <c r="O821" s="83"/>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7"/>
    </row>
    <row r="822" ht="15.75" customHeight="1">
      <c r="A822" s="6"/>
      <c r="B822" s="6"/>
      <c r="C822" s="6"/>
      <c r="D822" s="6"/>
      <c r="E822" s="6"/>
      <c r="F822" s="6"/>
      <c r="G822" s="83"/>
      <c r="H822" s="83"/>
      <c r="I822" s="83"/>
      <c r="J822" s="83"/>
      <c r="K822" s="83"/>
      <c r="L822" s="83"/>
      <c r="M822" s="6"/>
      <c r="N822" s="83"/>
      <c r="O822" s="83"/>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7"/>
    </row>
    <row r="823" ht="15.75" customHeight="1">
      <c r="A823" s="6"/>
      <c r="B823" s="6"/>
      <c r="C823" s="6"/>
      <c r="D823" s="6"/>
      <c r="E823" s="6"/>
      <c r="F823" s="6"/>
      <c r="G823" s="83"/>
      <c r="H823" s="83"/>
      <c r="I823" s="83"/>
      <c r="J823" s="83"/>
      <c r="K823" s="83"/>
      <c r="L823" s="83"/>
      <c r="M823" s="6"/>
      <c r="N823" s="83"/>
      <c r="O823" s="83"/>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7"/>
    </row>
    <row r="824" ht="15.75" customHeight="1">
      <c r="A824" s="6"/>
      <c r="B824" s="6"/>
      <c r="C824" s="6"/>
      <c r="D824" s="6"/>
      <c r="E824" s="6"/>
      <c r="F824" s="6"/>
      <c r="G824" s="83"/>
      <c r="H824" s="83"/>
      <c r="I824" s="83"/>
      <c r="J824" s="83"/>
      <c r="K824" s="83"/>
      <c r="L824" s="83"/>
      <c r="M824" s="6"/>
      <c r="N824" s="83"/>
      <c r="O824" s="83"/>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7"/>
    </row>
    <row r="825" ht="15.75" customHeight="1">
      <c r="A825" s="6"/>
      <c r="B825" s="6"/>
      <c r="C825" s="6"/>
      <c r="D825" s="6"/>
      <c r="E825" s="6"/>
      <c r="F825" s="6"/>
      <c r="G825" s="83"/>
      <c r="H825" s="83"/>
      <c r="I825" s="83"/>
      <c r="J825" s="83"/>
      <c r="K825" s="83"/>
      <c r="L825" s="83"/>
      <c r="M825" s="6"/>
      <c r="N825" s="83"/>
      <c r="O825" s="83"/>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7"/>
    </row>
    <row r="826" ht="15.75" customHeight="1">
      <c r="A826" s="6"/>
      <c r="B826" s="6"/>
      <c r="C826" s="6"/>
      <c r="D826" s="6"/>
      <c r="E826" s="6"/>
      <c r="F826" s="6"/>
      <c r="G826" s="83"/>
      <c r="H826" s="83"/>
      <c r="I826" s="83"/>
      <c r="J826" s="83"/>
      <c r="K826" s="83"/>
      <c r="L826" s="83"/>
      <c r="M826" s="6"/>
      <c r="N826" s="83"/>
      <c r="O826" s="83"/>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7"/>
    </row>
    <row r="827" ht="15.75" customHeight="1">
      <c r="A827" s="6"/>
      <c r="B827" s="6"/>
      <c r="C827" s="6"/>
      <c r="D827" s="6"/>
      <c r="E827" s="6"/>
      <c r="F827" s="6"/>
      <c r="G827" s="83"/>
      <c r="H827" s="83"/>
      <c r="I827" s="83"/>
      <c r="J827" s="83"/>
      <c r="K827" s="83"/>
      <c r="L827" s="83"/>
      <c r="M827" s="6"/>
      <c r="N827" s="83"/>
      <c r="O827" s="83"/>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7"/>
    </row>
    <row r="828" ht="15.75" customHeight="1">
      <c r="A828" s="6"/>
      <c r="B828" s="6"/>
      <c r="C828" s="6"/>
      <c r="D828" s="6"/>
      <c r="E828" s="6"/>
      <c r="F828" s="6"/>
      <c r="G828" s="83"/>
      <c r="H828" s="83"/>
      <c r="I828" s="83"/>
      <c r="J828" s="83"/>
      <c r="K828" s="83"/>
      <c r="L828" s="83"/>
      <c r="M828" s="6"/>
      <c r="N828" s="83"/>
      <c r="O828" s="83"/>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7"/>
    </row>
    <row r="829" ht="15.75" customHeight="1">
      <c r="A829" s="6"/>
      <c r="B829" s="6"/>
      <c r="C829" s="6"/>
      <c r="D829" s="6"/>
      <c r="E829" s="6"/>
      <c r="F829" s="6"/>
      <c r="G829" s="83"/>
      <c r="H829" s="83"/>
      <c r="I829" s="83"/>
      <c r="J829" s="83"/>
      <c r="K829" s="83"/>
      <c r="L829" s="83"/>
      <c r="M829" s="6"/>
      <c r="N829" s="83"/>
      <c r="O829" s="83"/>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7"/>
    </row>
    <row r="830" ht="15.75" customHeight="1">
      <c r="A830" s="6"/>
      <c r="B830" s="6"/>
      <c r="C830" s="6"/>
      <c r="D830" s="6"/>
      <c r="E830" s="6"/>
      <c r="F830" s="6"/>
      <c r="G830" s="83"/>
      <c r="H830" s="83"/>
      <c r="I830" s="83"/>
      <c r="J830" s="83"/>
      <c r="K830" s="83"/>
      <c r="L830" s="83"/>
      <c r="M830" s="6"/>
      <c r="N830" s="83"/>
      <c r="O830" s="83"/>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7"/>
    </row>
    <row r="831" ht="15.75" customHeight="1">
      <c r="A831" s="6"/>
      <c r="B831" s="6"/>
      <c r="C831" s="6"/>
      <c r="D831" s="6"/>
      <c r="E831" s="6"/>
      <c r="F831" s="6"/>
      <c r="G831" s="83"/>
      <c r="H831" s="83"/>
      <c r="I831" s="83"/>
      <c r="J831" s="83"/>
      <c r="K831" s="83"/>
      <c r="L831" s="83"/>
      <c r="M831" s="6"/>
      <c r="N831" s="83"/>
      <c r="O831" s="83"/>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7"/>
    </row>
    <row r="832" ht="15.75" customHeight="1">
      <c r="A832" s="6"/>
      <c r="B832" s="6"/>
      <c r="C832" s="6"/>
      <c r="D832" s="6"/>
      <c r="E832" s="6"/>
      <c r="F832" s="6"/>
      <c r="G832" s="83"/>
      <c r="H832" s="83"/>
      <c r="I832" s="83"/>
      <c r="J832" s="83"/>
      <c r="K832" s="83"/>
      <c r="L832" s="83"/>
      <c r="M832" s="6"/>
      <c r="N832" s="83"/>
      <c r="O832" s="83"/>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7"/>
    </row>
    <row r="833" ht="15.75" customHeight="1">
      <c r="A833" s="6"/>
      <c r="B833" s="6"/>
      <c r="C833" s="6"/>
      <c r="D833" s="6"/>
      <c r="E833" s="6"/>
      <c r="F833" s="6"/>
      <c r="G833" s="83"/>
      <c r="H833" s="83"/>
      <c r="I833" s="83"/>
      <c r="J833" s="83"/>
      <c r="K833" s="83"/>
      <c r="L833" s="83"/>
      <c r="M833" s="6"/>
      <c r="N833" s="83"/>
      <c r="O833" s="83"/>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7"/>
    </row>
    <row r="834" ht="15.75" customHeight="1">
      <c r="A834" s="6"/>
      <c r="B834" s="6"/>
      <c r="C834" s="6"/>
      <c r="D834" s="6"/>
      <c r="E834" s="6"/>
      <c r="F834" s="6"/>
      <c r="G834" s="83"/>
      <c r="H834" s="83"/>
      <c r="I834" s="83"/>
      <c r="J834" s="83"/>
      <c r="K834" s="83"/>
      <c r="L834" s="83"/>
      <c r="M834" s="6"/>
      <c r="N834" s="83"/>
      <c r="O834" s="83"/>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7"/>
    </row>
    <row r="835" ht="15.75" customHeight="1">
      <c r="A835" s="6"/>
      <c r="B835" s="6"/>
      <c r="C835" s="6"/>
      <c r="D835" s="6"/>
      <c r="E835" s="6"/>
      <c r="F835" s="6"/>
      <c r="G835" s="83"/>
      <c r="H835" s="83"/>
      <c r="I835" s="83"/>
      <c r="J835" s="83"/>
      <c r="K835" s="83"/>
      <c r="L835" s="83"/>
      <c r="M835" s="6"/>
      <c r="N835" s="83"/>
      <c r="O835" s="83"/>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7"/>
    </row>
    <row r="836" ht="15.75" customHeight="1">
      <c r="A836" s="6"/>
      <c r="B836" s="6"/>
      <c r="C836" s="6"/>
      <c r="D836" s="6"/>
      <c r="E836" s="6"/>
      <c r="F836" s="6"/>
      <c r="G836" s="83"/>
      <c r="H836" s="83"/>
      <c r="I836" s="83"/>
      <c r="J836" s="83"/>
      <c r="K836" s="83"/>
      <c r="L836" s="83"/>
      <c r="M836" s="6"/>
      <c r="N836" s="83"/>
      <c r="O836" s="83"/>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7"/>
    </row>
    <row r="837" ht="15.75" customHeight="1">
      <c r="A837" s="6"/>
      <c r="B837" s="6"/>
      <c r="C837" s="6"/>
      <c r="D837" s="6"/>
      <c r="E837" s="6"/>
      <c r="F837" s="6"/>
      <c r="G837" s="83"/>
      <c r="H837" s="83"/>
      <c r="I837" s="83"/>
      <c r="J837" s="83"/>
      <c r="K837" s="83"/>
      <c r="L837" s="83"/>
      <c r="M837" s="6"/>
      <c r="N837" s="83"/>
      <c r="O837" s="83"/>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7"/>
    </row>
    <row r="838" ht="15.75" customHeight="1">
      <c r="A838" s="6"/>
      <c r="B838" s="6"/>
      <c r="C838" s="6"/>
      <c r="D838" s="6"/>
      <c r="E838" s="6"/>
      <c r="F838" s="6"/>
      <c r="G838" s="83"/>
      <c r="H838" s="83"/>
      <c r="I838" s="83"/>
      <c r="J838" s="83"/>
      <c r="K838" s="83"/>
      <c r="L838" s="83"/>
      <c r="M838" s="6"/>
      <c r="N838" s="83"/>
      <c r="O838" s="83"/>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7"/>
    </row>
    <row r="839" ht="15.75" customHeight="1">
      <c r="A839" s="6"/>
      <c r="B839" s="6"/>
      <c r="C839" s="6"/>
      <c r="D839" s="6"/>
      <c r="E839" s="6"/>
      <c r="F839" s="6"/>
      <c r="G839" s="83"/>
      <c r="H839" s="83"/>
      <c r="I839" s="83"/>
      <c r="J839" s="83"/>
      <c r="K839" s="83"/>
      <c r="L839" s="83"/>
      <c r="M839" s="6"/>
      <c r="N839" s="83"/>
      <c r="O839" s="83"/>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7"/>
    </row>
    <row r="840" ht="15.75" customHeight="1">
      <c r="A840" s="6"/>
      <c r="B840" s="6"/>
      <c r="C840" s="6"/>
      <c r="D840" s="6"/>
      <c r="E840" s="6"/>
      <c r="F840" s="6"/>
      <c r="G840" s="83"/>
      <c r="H840" s="83"/>
      <c r="I840" s="83"/>
      <c r="J840" s="83"/>
      <c r="K840" s="83"/>
      <c r="L840" s="83"/>
      <c r="M840" s="6"/>
      <c r="N840" s="83"/>
      <c r="O840" s="83"/>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7"/>
    </row>
    <row r="841" ht="15.75" customHeight="1">
      <c r="A841" s="6"/>
      <c r="B841" s="6"/>
      <c r="C841" s="6"/>
      <c r="D841" s="6"/>
      <c r="E841" s="6"/>
      <c r="F841" s="6"/>
      <c r="G841" s="83"/>
      <c r="H841" s="83"/>
      <c r="I841" s="83"/>
      <c r="J841" s="83"/>
      <c r="K841" s="83"/>
      <c r="L841" s="83"/>
      <c r="M841" s="6"/>
      <c r="N841" s="83"/>
      <c r="O841" s="83"/>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7"/>
    </row>
    <row r="842" ht="15.75" customHeight="1">
      <c r="A842" s="6"/>
      <c r="B842" s="6"/>
      <c r="C842" s="6"/>
      <c r="D842" s="6"/>
      <c r="E842" s="6"/>
      <c r="F842" s="6"/>
      <c r="G842" s="83"/>
      <c r="H842" s="83"/>
      <c r="I842" s="83"/>
      <c r="J842" s="83"/>
      <c r="K842" s="83"/>
      <c r="L842" s="83"/>
      <c r="M842" s="6"/>
      <c r="N842" s="83"/>
      <c r="O842" s="83"/>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7"/>
    </row>
    <row r="843" ht="15.75" customHeight="1">
      <c r="A843" s="6"/>
      <c r="B843" s="6"/>
      <c r="C843" s="6"/>
      <c r="D843" s="6"/>
      <c r="E843" s="6"/>
      <c r="F843" s="6"/>
      <c r="G843" s="83"/>
      <c r="H843" s="83"/>
      <c r="I843" s="83"/>
      <c r="J843" s="83"/>
      <c r="K843" s="83"/>
      <c r="L843" s="83"/>
      <c r="M843" s="6"/>
      <c r="N843" s="83"/>
      <c r="O843" s="83"/>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7"/>
    </row>
    <row r="844" ht="15.75" customHeight="1">
      <c r="A844" s="6"/>
      <c r="B844" s="6"/>
      <c r="C844" s="6"/>
      <c r="D844" s="6"/>
      <c r="E844" s="6"/>
      <c r="F844" s="6"/>
      <c r="G844" s="83"/>
      <c r="H844" s="83"/>
      <c r="I844" s="83"/>
      <c r="J844" s="83"/>
      <c r="K844" s="83"/>
      <c r="L844" s="83"/>
      <c r="M844" s="6"/>
      <c r="N844" s="83"/>
      <c r="O844" s="83"/>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7"/>
    </row>
    <row r="845" ht="15.75" customHeight="1">
      <c r="A845" s="6"/>
      <c r="B845" s="6"/>
      <c r="C845" s="6"/>
      <c r="D845" s="6"/>
      <c r="E845" s="6"/>
      <c r="F845" s="6"/>
      <c r="G845" s="83"/>
      <c r="H845" s="83"/>
      <c r="I845" s="83"/>
      <c r="J845" s="83"/>
      <c r="K845" s="83"/>
      <c r="L845" s="83"/>
      <c r="M845" s="6"/>
      <c r="N845" s="83"/>
      <c r="O845" s="83"/>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7"/>
    </row>
    <row r="846" ht="15.75" customHeight="1">
      <c r="A846" s="6"/>
      <c r="B846" s="6"/>
      <c r="C846" s="6"/>
      <c r="D846" s="6"/>
      <c r="E846" s="6"/>
      <c r="F846" s="6"/>
      <c r="G846" s="83"/>
      <c r="H846" s="83"/>
      <c r="I846" s="83"/>
      <c r="J846" s="83"/>
      <c r="K846" s="83"/>
      <c r="L846" s="83"/>
      <c r="M846" s="6"/>
      <c r="N846" s="83"/>
      <c r="O846" s="83"/>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7"/>
    </row>
    <row r="847" ht="15.75" customHeight="1">
      <c r="A847" s="6"/>
      <c r="B847" s="6"/>
      <c r="C847" s="6"/>
      <c r="D847" s="6"/>
      <c r="E847" s="6"/>
      <c r="F847" s="6"/>
      <c r="G847" s="83"/>
      <c r="H847" s="83"/>
      <c r="I847" s="83"/>
      <c r="J847" s="83"/>
      <c r="K847" s="83"/>
      <c r="L847" s="83"/>
      <c r="M847" s="6"/>
      <c r="N847" s="83"/>
      <c r="O847" s="83"/>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7"/>
    </row>
    <row r="848" ht="15.75" customHeight="1">
      <c r="A848" s="6"/>
      <c r="B848" s="6"/>
      <c r="C848" s="6"/>
      <c r="D848" s="6"/>
      <c r="E848" s="6"/>
      <c r="F848" s="6"/>
      <c r="G848" s="83"/>
      <c r="H848" s="83"/>
      <c r="I848" s="83"/>
      <c r="J848" s="83"/>
      <c r="K848" s="83"/>
      <c r="L848" s="83"/>
      <c r="M848" s="6"/>
      <c r="N848" s="83"/>
      <c r="O848" s="83"/>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7"/>
    </row>
    <row r="849" ht="15.75" customHeight="1">
      <c r="A849" s="6"/>
      <c r="B849" s="6"/>
      <c r="C849" s="6"/>
      <c r="D849" s="6"/>
      <c r="E849" s="6"/>
      <c r="F849" s="6"/>
      <c r="G849" s="83"/>
      <c r="H849" s="83"/>
      <c r="I849" s="83"/>
      <c r="J849" s="83"/>
      <c r="K849" s="83"/>
      <c r="L849" s="83"/>
      <c r="M849" s="6"/>
      <c r="N849" s="83"/>
      <c r="O849" s="83"/>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7"/>
    </row>
    <row r="850" ht="15.75" customHeight="1">
      <c r="A850" s="6"/>
      <c r="B850" s="6"/>
      <c r="C850" s="6"/>
      <c r="D850" s="6"/>
      <c r="E850" s="6"/>
      <c r="F850" s="6"/>
      <c r="G850" s="83"/>
      <c r="H850" s="83"/>
      <c r="I850" s="83"/>
      <c r="J850" s="83"/>
      <c r="K850" s="83"/>
      <c r="L850" s="83"/>
      <c r="M850" s="6"/>
      <c r="N850" s="83"/>
      <c r="O850" s="83"/>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7"/>
    </row>
    <row r="851" ht="15.75" customHeight="1">
      <c r="A851" s="6"/>
      <c r="B851" s="6"/>
      <c r="C851" s="6"/>
      <c r="D851" s="6"/>
      <c r="E851" s="6"/>
      <c r="F851" s="6"/>
      <c r="G851" s="83"/>
      <c r="H851" s="83"/>
      <c r="I851" s="83"/>
      <c r="J851" s="83"/>
      <c r="K851" s="83"/>
      <c r="L851" s="83"/>
      <c r="M851" s="6"/>
      <c r="N851" s="83"/>
      <c r="O851" s="83"/>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7"/>
    </row>
    <row r="852" ht="15.75" customHeight="1">
      <c r="A852" s="6"/>
      <c r="B852" s="6"/>
      <c r="C852" s="6"/>
      <c r="D852" s="6"/>
      <c r="E852" s="6"/>
      <c r="F852" s="6"/>
      <c r="G852" s="83"/>
      <c r="H852" s="83"/>
      <c r="I852" s="83"/>
      <c r="J852" s="83"/>
      <c r="K852" s="83"/>
      <c r="L852" s="83"/>
      <c r="M852" s="6"/>
      <c r="N852" s="83"/>
      <c r="O852" s="83"/>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7"/>
    </row>
    <row r="853" ht="15.75" customHeight="1">
      <c r="A853" s="6"/>
      <c r="B853" s="6"/>
      <c r="C853" s="6"/>
      <c r="D853" s="6"/>
      <c r="E853" s="6"/>
      <c r="F853" s="6"/>
      <c r="G853" s="83"/>
      <c r="H853" s="83"/>
      <c r="I853" s="83"/>
      <c r="J853" s="83"/>
      <c r="K853" s="83"/>
      <c r="L853" s="83"/>
      <c r="M853" s="6"/>
      <c r="N853" s="83"/>
      <c r="O853" s="83"/>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7"/>
    </row>
    <row r="854" ht="15.75" customHeight="1">
      <c r="A854" s="6"/>
      <c r="B854" s="6"/>
      <c r="C854" s="6"/>
      <c r="D854" s="6"/>
      <c r="E854" s="6"/>
      <c r="F854" s="6"/>
      <c r="G854" s="83"/>
      <c r="H854" s="83"/>
      <c r="I854" s="83"/>
      <c r="J854" s="83"/>
      <c r="K854" s="83"/>
      <c r="L854" s="83"/>
      <c r="M854" s="6"/>
      <c r="N854" s="83"/>
      <c r="O854" s="83"/>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7"/>
    </row>
    <row r="855" ht="15.75" customHeight="1">
      <c r="A855" s="6"/>
      <c r="B855" s="6"/>
      <c r="C855" s="6"/>
      <c r="D855" s="6"/>
      <c r="E855" s="6"/>
      <c r="F855" s="6"/>
      <c r="G855" s="83"/>
      <c r="H855" s="83"/>
      <c r="I855" s="83"/>
      <c r="J855" s="83"/>
      <c r="K855" s="83"/>
      <c r="L855" s="83"/>
      <c r="M855" s="6"/>
      <c r="N855" s="83"/>
      <c r="O855" s="83"/>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7"/>
    </row>
    <row r="856" ht="15.75" customHeight="1">
      <c r="A856" s="6"/>
      <c r="B856" s="6"/>
      <c r="C856" s="6"/>
      <c r="D856" s="6"/>
      <c r="E856" s="6"/>
      <c r="F856" s="6"/>
      <c r="G856" s="83"/>
      <c r="H856" s="83"/>
      <c r="I856" s="83"/>
      <c r="J856" s="83"/>
      <c r="K856" s="83"/>
      <c r="L856" s="83"/>
      <c r="M856" s="6"/>
      <c r="N856" s="83"/>
      <c r="O856" s="83"/>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7"/>
    </row>
    <row r="857" ht="15.75" customHeight="1">
      <c r="A857" s="6"/>
      <c r="B857" s="6"/>
      <c r="C857" s="6"/>
      <c r="D857" s="6"/>
      <c r="E857" s="6"/>
      <c r="F857" s="6"/>
      <c r="G857" s="83"/>
      <c r="H857" s="83"/>
      <c r="I857" s="83"/>
      <c r="J857" s="83"/>
      <c r="K857" s="83"/>
      <c r="L857" s="83"/>
      <c r="M857" s="6"/>
      <c r="N857" s="83"/>
      <c r="O857" s="83"/>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7"/>
    </row>
    <row r="858" ht="15.75" customHeight="1">
      <c r="A858" s="6"/>
      <c r="B858" s="6"/>
      <c r="C858" s="6"/>
      <c r="D858" s="6"/>
      <c r="E858" s="6"/>
      <c r="F858" s="6"/>
      <c r="G858" s="83"/>
      <c r="H858" s="83"/>
      <c r="I858" s="83"/>
      <c r="J858" s="83"/>
      <c r="K858" s="83"/>
      <c r="L858" s="83"/>
      <c r="M858" s="6"/>
      <c r="N858" s="83"/>
      <c r="O858" s="83"/>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7"/>
    </row>
    <row r="859" ht="15.75" customHeight="1">
      <c r="A859" s="6"/>
      <c r="B859" s="6"/>
      <c r="C859" s="6"/>
      <c r="D859" s="6"/>
      <c r="E859" s="6"/>
      <c r="F859" s="6"/>
      <c r="G859" s="83"/>
      <c r="H859" s="83"/>
      <c r="I859" s="83"/>
      <c r="J859" s="83"/>
      <c r="K859" s="83"/>
      <c r="L859" s="83"/>
      <c r="M859" s="6"/>
      <c r="N859" s="83"/>
      <c r="O859" s="83"/>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7"/>
    </row>
    <row r="860" ht="15.75" customHeight="1">
      <c r="A860" s="6"/>
      <c r="B860" s="6"/>
      <c r="C860" s="6"/>
      <c r="D860" s="6"/>
      <c r="E860" s="6"/>
      <c r="F860" s="6"/>
      <c r="G860" s="83"/>
      <c r="H860" s="83"/>
      <c r="I860" s="83"/>
      <c r="J860" s="83"/>
      <c r="K860" s="83"/>
      <c r="L860" s="83"/>
      <c r="M860" s="6"/>
      <c r="N860" s="83"/>
      <c r="O860" s="83"/>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7"/>
    </row>
    <row r="861" ht="15.75" customHeight="1">
      <c r="A861" s="6"/>
      <c r="B861" s="6"/>
      <c r="C861" s="6"/>
      <c r="D861" s="6"/>
      <c r="E861" s="6"/>
      <c r="F861" s="6"/>
      <c r="G861" s="83"/>
      <c r="H861" s="83"/>
      <c r="I861" s="83"/>
      <c r="J861" s="83"/>
      <c r="K861" s="83"/>
      <c r="L861" s="83"/>
      <c r="M861" s="6"/>
      <c r="N861" s="83"/>
      <c r="O861" s="83"/>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7"/>
    </row>
    <row r="862" ht="15.75" customHeight="1">
      <c r="A862" s="6"/>
      <c r="B862" s="6"/>
      <c r="C862" s="6"/>
      <c r="D862" s="6"/>
      <c r="E862" s="6"/>
      <c r="F862" s="6"/>
      <c r="G862" s="83"/>
      <c r="H862" s="83"/>
      <c r="I862" s="83"/>
      <c r="J862" s="83"/>
      <c r="K862" s="83"/>
      <c r="L862" s="83"/>
      <c r="M862" s="6"/>
      <c r="N862" s="83"/>
      <c r="O862" s="83"/>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7"/>
    </row>
    <row r="863" ht="15.75" customHeight="1">
      <c r="A863" s="6"/>
      <c r="B863" s="6"/>
      <c r="C863" s="6"/>
      <c r="D863" s="6"/>
      <c r="E863" s="6"/>
      <c r="F863" s="6"/>
      <c r="G863" s="83"/>
      <c r="H863" s="83"/>
      <c r="I863" s="83"/>
      <c r="J863" s="83"/>
      <c r="K863" s="83"/>
      <c r="L863" s="83"/>
      <c r="M863" s="6"/>
      <c r="N863" s="83"/>
      <c r="O863" s="83"/>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7"/>
    </row>
    <row r="864" ht="15.75" customHeight="1">
      <c r="A864" s="6"/>
      <c r="B864" s="6"/>
      <c r="C864" s="6"/>
      <c r="D864" s="6"/>
      <c r="E864" s="6"/>
      <c r="F864" s="6"/>
      <c r="G864" s="83"/>
      <c r="H864" s="83"/>
      <c r="I864" s="83"/>
      <c r="J864" s="83"/>
      <c r="K864" s="83"/>
      <c r="L864" s="83"/>
      <c r="M864" s="6"/>
      <c r="N864" s="83"/>
      <c r="O864" s="83"/>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7"/>
    </row>
    <row r="865" ht="15.75" customHeight="1">
      <c r="A865" s="6"/>
      <c r="B865" s="6"/>
      <c r="C865" s="6"/>
      <c r="D865" s="6"/>
      <c r="E865" s="6"/>
      <c r="F865" s="6"/>
      <c r="G865" s="83"/>
      <c r="H865" s="83"/>
      <c r="I865" s="83"/>
      <c r="J865" s="83"/>
      <c r="K865" s="83"/>
      <c r="L865" s="83"/>
      <c r="M865" s="6"/>
      <c r="N865" s="83"/>
      <c r="O865" s="83"/>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7"/>
    </row>
    <row r="866" ht="15.75" customHeight="1">
      <c r="A866" s="6"/>
      <c r="B866" s="6"/>
      <c r="C866" s="6"/>
      <c r="D866" s="6"/>
      <c r="E866" s="6"/>
      <c r="F866" s="6"/>
      <c r="G866" s="83"/>
      <c r="H866" s="83"/>
      <c r="I866" s="83"/>
      <c r="J866" s="83"/>
      <c r="K866" s="83"/>
      <c r="L866" s="83"/>
      <c r="M866" s="6"/>
      <c r="N866" s="83"/>
      <c r="O866" s="83"/>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7"/>
    </row>
    <row r="867" ht="15.75" customHeight="1">
      <c r="A867" s="6"/>
      <c r="B867" s="6"/>
      <c r="C867" s="6"/>
      <c r="D867" s="6"/>
      <c r="E867" s="6"/>
      <c r="F867" s="6"/>
      <c r="G867" s="83"/>
      <c r="H867" s="83"/>
      <c r="I867" s="83"/>
      <c r="J867" s="83"/>
      <c r="K867" s="83"/>
      <c r="L867" s="83"/>
      <c r="M867" s="6"/>
      <c r="N867" s="83"/>
      <c r="O867" s="83"/>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7"/>
    </row>
    <row r="868" ht="15.75" customHeight="1">
      <c r="A868" s="6"/>
      <c r="B868" s="6"/>
      <c r="C868" s="6"/>
      <c r="D868" s="6"/>
      <c r="E868" s="6"/>
      <c r="F868" s="6"/>
      <c r="G868" s="83"/>
      <c r="H868" s="83"/>
      <c r="I868" s="83"/>
      <c r="J868" s="83"/>
      <c r="K868" s="83"/>
      <c r="L868" s="83"/>
      <c r="M868" s="6"/>
      <c r="N868" s="83"/>
      <c r="O868" s="83"/>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7"/>
    </row>
    <row r="869" ht="15.75" customHeight="1">
      <c r="A869" s="6"/>
      <c r="B869" s="6"/>
      <c r="C869" s="6"/>
      <c r="D869" s="6"/>
      <c r="E869" s="6"/>
      <c r="F869" s="6"/>
      <c r="G869" s="83"/>
      <c r="H869" s="83"/>
      <c r="I869" s="83"/>
      <c r="J869" s="83"/>
      <c r="K869" s="83"/>
      <c r="L869" s="83"/>
      <c r="M869" s="6"/>
      <c r="N869" s="83"/>
      <c r="O869" s="83"/>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7"/>
    </row>
    <row r="870" ht="15.75" customHeight="1">
      <c r="A870" s="6"/>
      <c r="B870" s="6"/>
      <c r="C870" s="6"/>
      <c r="D870" s="6"/>
      <c r="E870" s="6"/>
      <c r="F870" s="6"/>
      <c r="G870" s="83"/>
      <c r="H870" s="83"/>
      <c r="I870" s="83"/>
      <c r="J870" s="83"/>
      <c r="K870" s="83"/>
      <c r="L870" s="83"/>
      <c r="M870" s="6"/>
      <c r="N870" s="83"/>
      <c r="O870" s="83"/>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7"/>
    </row>
    <row r="871" ht="15.75" customHeight="1">
      <c r="A871" s="6"/>
      <c r="B871" s="6"/>
      <c r="C871" s="6"/>
      <c r="D871" s="6"/>
      <c r="E871" s="6"/>
      <c r="F871" s="6"/>
      <c r="G871" s="83"/>
      <c r="H871" s="83"/>
      <c r="I871" s="83"/>
      <c r="J871" s="83"/>
      <c r="K871" s="83"/>
      <c r="L871" s="83"/>
      <c r="M871" s="6"/>
      <c r="N871" s="83"/>
      <c r="O871" s="83"/>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7"/>
    </row>
    <row r="872" ht="15.75" customHeight="1">
      <c r="A872" s="6"/>
      <c r="B872" s="6"/>
      <c r="C872" s="6"/>
      <c r="D872" s="6"/>
      <c r="E872" s="6"/>
      <c r="F872" s="6"/>
      <c r="G872" s="83"/>
      <c r="H872" s="83"/>
      <c r="I872" s="83"/>
      <c r="J872" s="83"/>
      <c r="K872" s="83"/>
      <c r="L872" s="83"/>
      <c r="M872" s="6"/>
      <c r="N872" s="83"/>
      <c r="O872" s="83"/>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7"/>
    </row>
    <row r="873" ht="15.75" customHeight="1">
      <c r="A873" s="6"/>
      <c r="B873" s="6"/>
      <c r="C873" s="6"/>
      <c r="D873" s="6"/>
      <c r="E873" s="6"/>
      <c r="F873" s="6"/>
      <c r="G873" s="83"/>
      <c r="H873" s="83"/>
      <c r="I873" s="83"/>
      <c r="J873" s="83"/>
      <c r="K873" s="83"/>
      <c r="L873" s="83"/>
      <c r="M873" s="6"/>
      <c r="N873" s="83"/>
      <c r="O873" s="83"/>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7"/>
    </row>
    <row r="874" ht="15.75" customHeight="1">
      <c r="A874" s="6"/>
      <c r="B874" s="6"/>
      <c r="C874" s="6"/>
      <c r="D874" s="6"/>
      <c r="E874" s="6"/>
      <c r="F874" s="6"/>
      <c r="G874" s="83"/>
      <c r="H874" s="83"/>
      <c r="I874" s="83"/>
      <c r="J874" s="83"/>
      <c r="K874" s="83"/>
      <c r="L874" s="83"/>
      <c r="M874" s="6"/>
      <c r="N874" s="83"/>
      <c r="O874" s="83"/>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7"/>
    </row>
    <row r="875" ht="15.75" customHeight="1">
      <c r="A875" s="6"/>
      <c r="B875" s="6"/>
      <c r="C875" s="6"/>
      <c r="D875" s="6"/>
      <c r="E875" s="6"/>
      <c r="F875" s="6"/>
      <c r="G875" s="83"/>
      <c r="H875" s="83"/>
      <c r="I875" s="83"/>
      <c r="J875" s="83"/>
      <c r="K875" s="83"/>
      <c r="L875" s="83"/>
      <c r="M875" s="6"/>
      <c r="N875" s="83"/>
      <c r="O875" s="83"/>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7"/>
    </row>
    <row r="876" ht="15.75" customHeight="1">
      <c r="A876" s="6"/>
      <c r="B876" s="6"/>
      <c r="C876" s="6"/>
      <c r="D876" s="6"/>
      <c r="E876" s="6"/>
      <c r="F876" s="6"/>
      <c r="G876" s="83"/>
      <c r="H876" s="83"/>
      <c r="I876" s="83"/>
      <c r="J876" s="83"/>
      <c r="K876" s="83"/>
      <c r="L876" s="83"/>
      <c r="M876" s="6"/>
      <c r="N876" s="83"/>
      <c r="O876" s="83"/>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7"/>
    </row>
    <row r="877" ht="15.75" customHeight="1">
      <c r="A877" s="6"/>
      <c r="B877" s="6"/>
      <c r="C877" s="6"/>
      <c r="D877" s="6"/>
      <c r="E877" s="6"/>
      <c r="F877" s="6"/>
      <c r="G877" s="83"/>
      <c r="H877" s="83"/>
      <c r="I877" s="83"/>
      <c r="J877" s="83"/>
      <c r="K877" s="83"/>
      <c r="L877" s="83"/>
      <c r="M877" s="6"/>
      <c r="N877" s="83"/>
      <c r="O877" s="83"/>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7"/>
    </row>
    <row r="878" ht="15.75" customHeight="1">
      <c r="A878" s="6"/>
      <c r="B878" s="6"/>
      <c r="C878" s="6"/>
      <c r="D878" s="6"/>
      <c r="E878" s="6"/>
      <c r="F878" s="6"/>
      <c r="G878" s="83"/>
      <c r="H878" s="83"/>
      <c r="I878" s="83"/>
      <c r="J878" s="83"/>
      <c r="K878" s="83"/>
      <c r="L878" s="83"/>
      <c r="M878" s="6"/>
      <c r="N878" s="83"/>
      <c r="O878" s="83"/>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7"/>
    </row>
    <row r="879" ht="15.75" customHeight="1">
      <c r="A879" s="6"/>
      <c r="B879" s="6"/>
      <c r="C879" s="6"/>
      <c r="D879" s="6"/>
      <c r="E879" s="6"/>
      <c r="F879" s="6"/>
      <c r="G879" s="83"/>
      <c r="H879" s="83"/>
      <c r="I879" s="83"/>
      <c r="J879" s="83"/>
      <c r="K879" s="83"/>
      <c r="L879" s="83"/>
      <c r="M879" s="6"/>
      <c r="N879" s="83"/>
      <c r="O879" s="83"/>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7"/>
    </row>
    <row r="880" ht="15.75" customHeight="1">
      <c r="A880" s="6"/>
      <c r="B880" s="6"/>
      <c r="C880" s="6"/>
      <c r="D880" s="6"/>
      <c r="E880" s="6"/>
      <c r="F880" s="6"/>
      <c r="G880" s="83"/>
      <c r="H880" s="83"/>
      <c r="I880" s="83"/>
      <c r="J880" s="83"/>
      <c r="K880" s="83"/>
      <c r="L880" s="83"/>
      <c r="M880" s="6"/>
      <c r="N880" s="83"/>
      <c r="O880" s="83"/>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7"/>
    </row>
    <row r="881" ht="15.75" customHeight="1">
      <c r="A881" s="6"/>
      <c r="B881" s="6"/>
      <c r="C881" s="6"/>
      <c r="D881" s="6"/>
      <c r="E881" s="6"/>
      <c r="F881" s="6"/>
      <c r="G881" s="83"/>
      <c r="H881" s="83"/>
      <c r="I881" s="83"/>
      <c r="J881" s="83"/>
      <c r="K881" s="83"/>
      <c r="L881" s="83"/>
      <c r="M881" s="6"/>
      <c r="N881" s="83"/>
      <c r="O881" s="83"/>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7"/>
    </row>
    <row r="882" ht="15.75" customHeight="1">
      <c r="A882" s="6"/>
      <c r="B882" s="6"/>
      <c r="C882" s="6"/>
      <c r="D882" s="6"/>
      <c r="E882" s="6"/>
      <c r="F882" s="6"/>
      <c r="G882" s="83"/>
      <c r="H882" s="83"/>
      <c r="I882" s="83"/>
      <c r="J882" s="83"/>
      <c r="K882" s="83"/>
      <c r="L882" s="83"/>
      <c r="M882" s="6"/>
      <c r="N882" s="83"/>
      <c r="O882" s="83"/>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7"/>
    </row>
    <row r="883" ht="15.75" customHeight="1">
      <c r="A883" s="6"/>
      <c r="B883" s="6"/>
      <c r="C883" s="6"/>
      <c r="D883" s="6"/>
      <c r="E883" s="6"/>
      <c r="F883" s="6"/>
      <c r="G883" s="83"/>
      <c r="H883" s="83"/>
      <c r="I883" s="83"/>
      <c r="J883" s="83"/>
      <c r="K883" s="83"/>
      <c r="L883" s="83"/>
      <c r="M883" s="6"/>
      <c r="N883" s="83"/>
      <c r="O883" s="83"/>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7"/>
    </row>
    <row r="884" ht="15.75" customHeight="1">
      <c r="A884" s="6"/>
      <c r="B884" s="6"/>
      <c r="C884" s="6"/>
      <c r="D884" s="6"/>
      <c r="E884" s="6"/>
      <c r="F884" s="6"/>
      <c r="G884" s="83"/>
      <c r="H884" s="83"/>
      <c r="I884" s="83"/>
      <c r="J884" s="83"/>
      <c r="K884" s="83"/>
      <c r="L884" s="83"/>
      <c r="M884" s="6"/>
      <c r="N884" s="83"/>
      <c r="O884" s="83"/>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7"/>
    </row>
    <row r="885" ht="15.75" customHeight="1">
      <c r="A885" s="6"/>
      <c r="B885" s="6"/>
      <c r="C885" s="6"/>
      <c r="D885" s="6"/>
      <c r="E885" s="6"/>
      <c r="F885" s="6"/>
      <c r="G885" s="83"/>
      <c r="H885" s="83"/>
      <c r="I885" s="83"/>
      <c r="J885" s="83"/>
      <c r="K885" s="83"/>
      <c r="L885" s="83"/>
      <c r="M885" s="6"/>
      <c r="N885" s="83"/>
      <c r="O885" s="83"/>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7"/>
    </row>
    <row r="886" ht="15.75" customHeight="1">
      <c r="A886" s="6"/>
      <c r="B886" s="6"/>
      <c r="C886" s="6"/>
      <c r="D886" s="6"/>
      <c r="E886" s="6"/>
      <c r="F886" s="6"/>
      <c r="G886" s="83"/>
      <c r="H886" s="83"/>
      <c r="I886" s="83"/>
      <c r="J886" s="83"/>
      <c r="K886" s="83"/>
      <c r="L886" s="83"/>
      <c r="M886" s="6"/>
      <c r="N886" s="83"/>
      <c r="O886" s="83"/>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7"/>
    </row>
    <row r="887" ht="15.75" customHeight="1">
      <c r="A887" s="6"/>
      <c r="B887" s="6"/>
      <c r="C887" s="6"/>
      <c r="D887" s="6"/>
      <c r="E887" s="6"/>
      <c r="F887" s="6"/>
      <c r="G887" s="83"/>
      <c r="H887" s="83"/>
      <c r="I887" s="83"/>
      <c r="J887" s="83"/>
      <c r="K887" s="83"/>
      <c r="L887" s="83"/>
      <c r="M887" s="6"/>
      <c r="N887" s="83"/>
      <c r="O887" s="83"/>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7"/>
    </row>
    <row r="888" ht="15.75" customHeight="1">
      <c r="A888" s="6"/>
      <c r="B888" s="6"/>
      <c r="C888" s="6"/>
      <c r="D888" s="6"/>
      <c r="E888" s="6"/>
      <c r="F888" s="6"/>
      <c r="G888" s="83"/>
      <c r="H888" s="83"/>
      <c r="I888" s="83"/>
      <c r="J888" s="83"/>
      <c r="K888" s="83"/>
      <c r="L888" s="83"/>
      <c r="M888" s="6"/>
      <c r="N888" s="83"/>
      <c r="O888" s="83"/>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7"/>
    </row>
    <row r="889" ht="15.75" customHeight="1">
      <c r="A889" s="6"/>
      <c r="B889" s="6"/>
      <c r="C889" s="6"/>
      <c r="D889" s="6"/>
      <c r="E889" s="6"/>
      <c r="F889" s="6"/>
      <c r="G889" s="83"/>
      <c r="H889" s="83"/>
      <c r="I889" s="83"/>
      <c r="J889" s="83"/>
      <c r="K889" s="83"/>
      <c r="L889" s="83"/>
      <c r="M889" s="6"/>
      <c r="N889" s="83"/>
      <c r="O889" s="83"/>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7"/>
    </row>
    <row r="890" ht="15.75" customHeight="1">
      <c r="A890" s="6"/>
      <c r="B890" s="6"/>
      <c r="C890" s="6"/>
      <c r="D890" s="6"/>
      <c r="E890" s="6"/>
      <c r="F890" s="6"/>
      <c r="G890" s="83"/>
      <c r="H890" s="83"/>
      <c r="I890" s="83"/>
      <c r="J890" s="83"/>
      <c r="K890" s="83"/>
      <c r="L890" s="83"/>
      <c r="M890" s="6"/>
      <c r="N890" s="83"/>
      <c r="O890" s="83"/>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7"/>
    </row>
    <row r="891" ht="15.75" customHeight="1">
      <c r="A891" s="6"/>
      <c r="B891" s="6"/>
      <c r="C891" s="6"/>
      <c r="D891" s="6"/>
      <c r="E891" s="6"/>
      <c r="F891" s="6"/>
      <c r="G891" s="83"/>
      <c r="H891" s="83"/>
      <c r="I891" s="83"/>
      <c r="J891" s="83"/>
      <c r="K891" s="83"/>
      <c r="L891" s="83"/>
      <c r="M891" s="6"/>
      <c r="N891" s="83"/>
      <c r="O891" s="83"/>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7"/>
    </row>
    <row r="892" ht="15.75" customHeight="1">
      <c r="A892" s="6"/>
      <c r="B892" s="6"/>
      <c r="C892" s="6"/>
      <c r="D892" s="6"/>
      <c r="E892" s="6"/>
      <c r="F892" s="6"/>
      <c r="G892" s="83"/>
      <c r="H892" s="83"/>
      <c r="I892" s="83"/>
      <c r="J892" s="83"/>
      <c r="K892" s="83"/>
      <c r="L892" s="83"/>
      <c r="M892" s="6"/>
      <c r="N892" s="83"/>
      <c r="O892" s="83"/>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7"/>
    </row>
    <row r="893" ht="15.75" customHeight="1">
      <c r="A893" s="6"/>
      <c r="B893" s="6"/>
      <c r="C893" s="6"/>
      <c r="D893" s="6"/>
      <c r="E893" s="6"/>
      <c r="F893" s="6"/>
      <c r="G893" s="83"/>
      <c r="H893" s="83"/>
      <c r="I893" s="83"/>
      <c r="J893" s="83"/>
      <c r="K893" s="83"/>
      <c r="L893" s="83"/>
      <c r="M893" s="6"/>
      <c r="N893" s="83"/>
      <c r="O893" s="83"/>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7"/>
    </row>
    <row r="894" ht="15.75" customHeight="1">
      <c r="A894" s="6"/>
      <c r="B894" s="6"/>
      <c r="C894" s="6"/>
      <c r="D894" s="6"/>
      <c r="E894" s="6"/>
      <c r="F894" s="6"/>
      <c r="G894" s="83"/>
      <c r="H894" s="83"/>
      <c r="I894" s="83"/>
      <c r="J894" s="83"/>
      <c r="K894" s="83"/>
      <c r="L894" s="83"/>
      <c r="M894" s="6"/>
      <c r="N894" s="83"/>
      <c r="O894" s="83"/>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7"/>
    </row>
    <row r="895" ht="15.75" customHeight="1">
      <c r="A895" s="6"/>
      <c r="B895" s="6"/>
      <c r="C895" s="6"/>
      <c r="D895" s="6"/>
      <c r="E895" s="6"/>
      <c r="F895" s="6"/>
      <c r="G895" s="83"/>
      <c r="H895" s="83"/>
      <c r="I895" s="83"/>
      <c r="J895" s="83"/>
      <c r="K895" s="83"/>
      <c r="L895" s="83"/>
      <c r="M895" s="6"/>
      <c r="N895" s="83"/>
      <c r="O895" s="83"/>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7"/>
    </row>
    <row r="896" ht="15.75" customHeight="1">
      <c r="A896" s="6"/>
      <c r="B896" s="6"/>
      <c r="C896" s="6"/>
      <c r="D896" s="6"/>
      <c r="E896" s="6"/>
      <c r="F896" s="6"/>
      <c r="G896" s="83"/>
      <c r="H896" s="83"/>
      <c r="I896" s="83"/>
      <c r="J896" s="83"/>
      <c r="K896" s="83"/>
      <c r="L896" s="83"/>
      <c r="M896" s="6"/>
      <c r="N896" s="83"/>
      <c r="O896" s="83"/>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7"/>
    </row>
    <row r="897" ht="15.75" customHeight="1">
      <c r="A897" s="6"/>
      <c r="B897" s="6"/>
      <c r="C897" s="6"/>
      <c r="D897" s="6"/>
      <c r="E897" s="6"/>
      <c r="F897" s="6"/>
      <c r="G897" s="83"/>
      <c r="H897" s="83"/>
      <c r="I897" s="83"/>
      <c r="J897" s="83"/>
      <c r="K897" s="83"/>
      <c r="L897" s="83"/>
      <c r="M897" s="6"/>
      <c r="N897" s="83"/>
      <c r="O897" s="83"/>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7"/>
    </row>
    <row r="898" ht="15.75" customHeight="1">
      <c r="A898" s="6"/>
      <c r="B898" s="6"/>
      <c r="C898" s="6"/>
      <c r="D898" s="6"/>
      <c r="E898" s="6"/>
      <c r="F898" s="6"/>
      <c r="G898" s="83"/>
      <c r="H898" s="83"/>
      <c r="I898" s="83"/>
      <c r="J898" s="83"/>
      <c r="K898" s="83"/>
      <c r="L898" s="83"/>
      <c r="M898" s="6"/>
      <c r="N898" s="83"/>
      <c r="O898" s="83"/>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7"/>
    </row>
    <row r="899" ht="15.75" customHeight="1">
      <c r="A899" s="6"/>
      <c r="B899" s="6"/>
      <c r="C899" s="6"/>
      <c r="D899" s="6"/>
      <c r="E899" s="6"/>
      <c r="F899" s="6"/>
      <c r="G899" s="83"/>
      <c r="H899" s="83"/>
      <c r="I899" s="83"/>
      <c r="J899" s="83"/>
      <c r="K899" s="83"/>
      <c r="L899" s="83"/>
      <c r="M899" s="6"/>
      <c r="N899" s="83"/>
      <c r="O899" s="83"/>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7"/>
    </row>
    <row r="900" ht="15.75" customHeight="1">
      <c r="A900" s="6"/>
      <c r="B900" s="6"/>
      <c r="C900" s="6"/>
      <c r="D900" s="6"/>
      <c r="E900" s="6"/>
      <c r="F900" s="6"/>
      <c r="G900" s="83"/>
      <c r="H900" s="83"/>
      <c r="I900" s="83"/>
      <c r="J900" s="83"/>
      <c r="K900" s="83"/>
      <c r="L900" s="83"/>
      <c r="M900" s="6"/>
      <c r="N900" s="83"/>
      <c r="O900" s="83"/>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7"/>
    </row>
    <row r="901" ht="15.75" customHeight="1">
      <c r="A901" s="6"/>
      <c r="B901" s="6"/>
      <c r="C901" s="6"/>
      <c r="D901" s="6"/>
      <c r="E901" s="6"/>
      <c r="F901" s="6"/>
      <c r="G901" s="83"/>
      <c r="H901" s="83"/>
      <c r="I901" s="83"/>
      <c r="J901" s="83"/>
      <c r="K901" s="83"/>
      <c r="L901" s="83"/>
      <c r="M901" s="6"/>
      <c r="N901" s="83"/>
      <c r="O901" s="83"/>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7"/>
    </row>
    <row r="902" ht="15.75" customHeight="1">
      <c r="A902" s="6"/>
      <c r="B902" s="6"/>
      <c r="C902" s="6"/>
      <c r="D902" s="6"/>
      <c r="E902" s="6"/>
      <c r="F902" s="6"/>
      <c r="G902" s="83"/>
      <c r="H902" s="83"/>
      <c r="I902" s="83"/>
      <c r="J902" s="83"/>
      <c r="K902" s="83"/>
      <c r="L902" s="83"/>
      <c r="M902" s="6"/>
      <c r="N902" s="83"/>
      <c r="O902" s="83"/>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7"/>
    </row>
    <row r="903" ht="15.75" customHeight="1">
      <c r="A903" s="6"/>
      <c r="B903" s="6"/>
      <c r="C903" s="6"/>
      <c r="D903" s="6"/>
      <c r="E903" s="6"/>
      <c r="F903" s="6"/>
      <c r="G903" s="83"/>
      <c r="H903" s="83"/>
      <c r="I903" s="83"/>
      <c r="J903" s="83"/>
      <c r="K903" s="83"/>
      <c r="L903" s="83"/>
      <c r="M903" s="6"/>
      <c r="N903" s="83"/>
      <c r="O903" s="83"/>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7"/>
    </row>
    <row r="904" ht="15.75" customHeight="1">
      <c r="A904" s="6"/>
      <c r="B904" s="6"/>
      <c r="C904" s="6"/>
      <c r="D904" s="6"/>
      <c r="E904" s="6"/>
      <c r="F904" s="6"/>
      <c r="G904" s="83"/>
      <c r="H904" s="83"/>
      <c r="I904" s="83"/>
      <c r="J904" s="83"/>
      <c r="K904" s="83"/>
      <c r="L904" s="83"/>
      <c r="M904" s="6"/>
      <c r="N904" s="83"/>
      <c r="O904" s="83"/>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7"/>
    </row>
    <row r="905" ht="15.75" customHeight="1">
      <c r="A905" s="6"/>
      <c r="B905" s="6"/>
      <c r="C905" s="6"/>
      <c r="D905" s="6"/>
      <c r="E905" s="6"/>
      <c r="F905" s="6"/>
      <c r="G905" s="83"/>
      <c r="H905" s="83"/>
      <c r="I905" s="83"/>
      <c r="J905" s="83"/>
      <c r="K905" s="83"/>
      <c r="L905" s="83"/>
      <c r="M905" s="6"/>
      <c r="N905" s="83"/>
      <c r="O905" s="83"/>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7"/>
    </row>
    <row r="906" ht="15.75" customHeight="1">
      <c r="A906" s="6"/>
      <c r="B906" s="6"/>
      <c r="C906" s="6"/>
      <c r="D906" s="6"/>
      <c r="E906" s="6"/>
      <c r="F906" s="6"/>
      <c r="G906" s="83"/>
      <c r="H906" s="83"/>
      <c r="I906" s="83"/>
      <c r="J906" s="83"/>
      <c r="K906" s="83"/>
      <c r="L906" s="83"/>
      <c r="M906" s="6"/>
      <c r="N906" s="83"/>
      <c r="O906" s="83"/>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7"/>
    </row>
    <row r="907" ht="15.75" customHeight="1">
      <c r="A907" s="6"/>
      <c r="B907" s="6"/>
      <c r="C907" s="6"/>
      <c r="D907" s="6"/>
      <c r="E907" s="6"/>
      <c r="F907" s="6"/>
      <c r="G907" s="83"/>
      <c r="H907" s="83"/>
      <c r="I907" s="83"/>
      <c r="J907" s="83"/>
      <c r="K907" s="83"/>
      <c r="L907" s="83"/>
      <c r="M907" s="6"/>
      <c r="N907" s="83"/>
      <c r="O907" s="83"/>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7"/>
    </row>
    <row r="908" ht="15.75" customHeight="1">
      <c r="A908" s="6"/>
      <c r="B908" s="6"/>
      <c r="C908" s="6"/>
      <c r="D908" s="6"/>
      <c r="E908" s="6"/>
      <c r="F908" s="6"/>
      <c r="G908" s="83"/>
      <c r="H908" s="83"/>
      <c r="I908" s="83"/>
      <c r="J908" s="83"/>
      <c r="K908" s="83"/>
      <c r="L908" s="83"/>
      <c r="M908" s="6"/>
      <c r="N908" s="83"/>
      <c r="O908" s="83"/>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7"/>
    </row>
    <row r="909" ht="15.75" customHeight="1">
      <c r="A909" s="6"/>
      <c r="B909" s="6"/>
      <c r="C909" s="6"/>
      <c r="D909" s="6"/>
      <c r="E909" s="6"/>
      <c r="F909" s="6"/>
      <c r="G909" s="83"/>
      <c r="H909" s="83"/>
      <c r="I909" s="83"/>
      <c r="J909" s="83"/>
      <c r="K909" s="83"/>
      <c r="L909" s="83"/>
      <c r="M909" s="6"/>
      <c r="N909" s="83"/>
      <c r="O909" s="83"/>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7"/>
    </row>
    <row r="910" ht="15.75" customHeight="1">
      <c r="A910" s="6"/>
      <c r="B910" s="6"/>
      <c r="C910" s="6"/>
      <c r="D910" s="6"/>
      <c r="E910" s="6"/>
      <c r="F910" s="6"/>
      <c r="G910" s="83"/>
      <c r="H910" s="83"/>
      <c r="I910" s="83"/>
      <c r="J910" s="83"/>
      <c r="K910" s="83"/>
      <c r="L910" s="83"/>
      <c r="M910" s="6"/>
      <c r="N910" s="83"/>
      <c r="O910" s="83"/>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7"/>
    </row>
    <row r="911" ht="15.75" customHeight="1">
      <c r="A911" s="6"/>
      <c r="B911" s="6"/>
      <c r="C911" s="6"/>
      <c r="D911" s="6"/>
      <c r="E911" s="6"/>
      <c r="F911" s="6"/>
      <c r="G911" s="83"/>
      <c r="H911" s="83"/>
      <c r="I911" s="83"/>
      <c r="J911" s="83"/>
      <c r="K911" s="83"/>
      <c r="L911" s="83"/>
      <c r="M911" s="6"/>
      <c r="N911" s="83"/>
      <c r="O911" s="83"/>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7"/>
    </row>
    <row r="912" ht="15.75" customHeight="1">
      <c r="A912" s="6"/>
      <c r="B912" s="6"/>
      <c r="C912" s="6"/>
      <c r="D912" s="6"/>
      <c r="E912" s="6"/>
      <c r="F912" s="6"/>
      <c r="G912" s="83"/>
      <c r="H912" s="83"/>
      <c r="I912" s="83"/>
      <c r="J912" s="83"/>
      <c r="K912" s="83"/>
      <c r="L912" s="83"/>
      <c r="M912" s="6"/>
      <c r="N912" s="83"/>
      <c r="O912" s="83"/>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7"/>
    </row>
    <row r="913" ht="15.75" customHeight="1">
      <c r="A913" s="6"/>
      <c r="B913" s="6"/>
      <c r="C913" s="6"/>
      <c r="D913" s="6"/>
      <c r="E913" s="6"/>
      <c r="F913" s="6"/>
      <c r="G913" s="83"/>
      <c r="H913" s="83"/>
      <c r="I913" s="83"/>
      <c r="J913" s="83"/>
      <c r="K913" s="83"/>
      <c r="L913" s="83"/>
      <c r="M913" s="6"/>
      <c r="N913" s="83"/>
      <c r="O913" s="83"/>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7"/>
    </row>
    <row r="914" ht="15.75" customHeight="1">
      <c r="A914" s="6"/>
      <c r="B914" s="6"/>
      <c r="C914" s="6"/>
      <c r="D914" s="6"/>
      <c r="E914" s="6"/>
      <c r="F914" s="6"/>
      <c r="G914" s="83"/>
      <c r="H914" s="83"/>
      <c r="I914" s="83"/>
      <c r="J914" s="83"/>
      <c r="K914" s="83"/>
      <c r="L914" s="83"/>
      <c r="M914" s="6"/>
      <c r="N914" s="83"/>
      <c r="O914" s="83"/>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7"/>
    </row>
    <row r="915" ht="15.75" customHeight="1">
      <c r="A915" s="6"/>
      <c r="B915" s="6"/>
      <c r="C915" s="6"/>
      <c r="D915" s="6"/>
      <c r="E915" s="6"/>
      <c r="F915" s="6"/>
      <c r="G915" s="83"/>
      <c r="H915" s="83"/>
      <c r="I915" s="83"/>
      <c r="J915" s="83"/>
      <c r="K915" s="83"/>
      <c r="L915" s="83"/>
      <c r="M915" s="6"/>
      <c r="N915" s="83"/>
      <c r="O915" s="83"/>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7"/>
    </row>
    <row r="916" ht="15.75" customHeight="1">
      <c r="A916" s="6"/>
      <c r="B916" s="6"/>
      <c r="C916" s="6"/>
      <c r="D916" s="6"/>
      <c r="E916" s="6"/>
      <c r="F916" s="6"/>
      <c r="G916" s="83"/>
      <c r="H916" s="83"/>
      <c r="I916" s="83"/>
      <c r="J916" s="83"/>
      <c r="K916" s="83"/>
      <c r="L916" s="83"/>
      <c r="M916" s="6"/>
      <c r="N916" s="83"/>
      <c r="O916" s="83"/>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7"/>
    </row>
    <row r="917" ht="15.75" customHeight="1">
      <c r="A917" s="6"/>
      <c r="B917" s="6"/>
      <c r="C917" s="6"/>
      <c r="D917" s="6"/>
      <c r="E917" s="6"/>
      <c r="F917" s="6"/>
      <c r="G917" s="83"/>
      <c r="H917" s="83"/>
      <c r="I917" s="83"/>
      <c r="J917" s="83"/>
      <c r="K917" s="83"/>
      <c r="L917" s="83"/>
      <c r="M917" s="6"/>
      <c r="N917" s="83"/>
      <c r="O917" s="83"/>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7"/>
    </row>
    <row r="918" ht="15.75" customHeight="1">
      <c r="A918" s="6"/>
      <c r="B918" s="6"/>
      <c r="C918" s="6"/>
      <c r="D918" s="6"/>
      <c r="E918" s="6"/>
      <c r="F918" s="6"/>
      <c r="G918" s="83"/>
      <c r="H918" s="83"/>
      <c r="I918" s="83"/>
      <c r="J918" s="83"/>
      <c r="K918" s="83"/>
      <c r="L918" s="83"/>
      <c r="M918" s="6"/>
      <c r="N918" s="83"/>
      <c r="O918" s="83"/>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7"/>
    </row>
    <row r="919" ht="15.75" customHeight="1">
      <c r="A919" s="6"/>
      <c r="B919" s="6"/>
      <c r="C919" s="6"/>
      <c r="D919" s="6"/>
      <c r="E919" s="6"/>
      <c r="F919" s="6"/>
      <c r="G919" s="83"/>
      <c r="H919" s="83"/>
      <c r="I919" s="83"/>
      <c r="J919" s="83"/>
      <c r="K919" s="83"/>
      <c r="L919" s="83"/>
      <c r="M919" s="6"/>
      <c r="N919" s="83"/>
      <c r="O919" s="83"/>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7"/>
    </row>
    <row r="920" ht="15.75" customHeight="1">
      <c r="A920" s="6"/>
      <c r="B920" s="6"/>
      <c r="C920" s="6"/>
      <c r="D920" s="6"/>
      <c r="E920" s="6"/>
      <c r="F920" s="6"/>
      <c r="G920" s="83"/>
      <c r="H920" s="83"/>
      <c r="I920" s="83"/>
      <c r="J920" s="83"/>
      <c r="K920" s="83"/>
      <c r="L920" s="83"/>
      <c r="M920" s="6"/>
      <c r="N920" s="83"/>
      <c r="O920" s="83"/>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7"/>
    </row>
    <row r="921" ht="15.75" customHeight="1">
      <c r="A921" s="6"/>
      <c r="B921" s="6"/>
      <c r="C921" s="6"/>
      <c r="D921" s="6"/>
      <c r="E921" s="6"/>
      <c r="F921" s="6"/>
      <c r="G921" s="83"/>
      <c r="H921" s="83"/>
      <c r="I921" s="83"/>
      <c r="J921" s="83"/>
      <c r="K921" s="83"/>
      <c r="L921" s="83"/>
      <c r="M921" s="6"/>
      <c r="N921" s="83"/>
      <c r="O921" s="83"/>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7"/>
    </row>
    <row r="922" ht="15.75" customHeight="1">
      <c r="A922" s="6"/>
      <c r="B922" s="6"/>
      <c r="C922" s="6"/>
      <c r="D922" s="6"/>
      <c r="E922" s="6"/>
      <c r="F922" s="6"/>
      <c r="G922" s="83"/>
      <c r="H922" s="83"/>
      <c r="I922" s="83"/>
      <c r="J922" s="83"/>
      <c r="K922" s="83"/>
      <c r="L922" s="83"/>
      <c r="M922" s="6"/>
      <c r="N922" s="83"/>
      <c r="O922" s="83"/>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7"/>
    </row>
    <row r="923" ht="15.75" customHeight="1">
      <c r="A923" s="6"/>
      <c r="B923" s="6"/>
      <c r="C923" s="6"/>
      <c r="D923" s="6"/>
      <c r="E923" s="6"/>
      <c r="F923" s="6"/>
      <c r="G923" s="83"/>
      <c r="H923" s="83"/>
      <c r="I923" s="83"/>
      <c r="J923" s="83"/>
      <c r="K923" s="83"/>
      <c r="L923" s="83"/>
      <c r="M923" s="6"/>
      <c r="N923" s="83"/>
      <c r="O923" s="83"/>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7"/>
    </row>
    <row r="924" ht="15.75" customHeight="1">
      <c r="A924" s="6"/>
      <c r="B924" s="6"/>
      <c r="C924" s="6"/>
      <c r="D924" s="6"/>
      <c r="E924" s="6"/>
      <c r="F924" s="6"/>
      <c r="G924" s="83"/>
      <c r="H924" s="83"/>
      <c r="I924" s="83"/>
      <c r="J924" s="83"/>
      <c r="K924" s="83"/>
      <c r="L924" s="83"/>
      <c r="M924" s="6"/>
      <c r="N924" s="83"/>
      <c r="O924" s="83"/>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7"/>
    </row>
    <row r="925" ht="15.75" customHeight="1">
      <c r="A925" s="6"/>
      <c r="B925" s="6"/>
      <c r="C925" s="6"/>
      <c r="D925" s="6"/>
      <c r="E925" s="6"/>
      <c r="F925" s="6"/>
      <c r="G925" s="83"/>
      <c r="H925" s="83"/>
      <c r="I925" s="83"/>
      <c r="J925" s="83"/>
      <c r="K925" s="83"/>
      <c r="L925" s="83"/>
      <c r="M925" s="6"/>
      <c r="N925" s="83"/>
      <c r="O925" s="83"/>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7"/>
    </row>
    <row r="926" ht="15.75" customHeight="1">
      <c r="A926" s="6"/>
      <c r="B926" s="6"/>
      <c r="C926" s="6"/>
      <c r="D926" s="6"/>
      <c r="E926" s="6"/>
      <c r="F926" s="6"/>
      <c r="G926" s="83"/>
      <c r="H926" s="83"/>
      <c r="I926" s="83"/>
      <c r="J926" s="83"/>
      <c r="K926" s="83"/>
      <c r="L926" s="83"/>
      <c r="M926" s="6"/>
      <c r="N926" s="83"/>
      <c r="O926" s="83"/>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7"/>
    </row>
    <row r="927" ht="15.75" customHeight="1">
      <c r="A927" s="6"/>
      <c r="B927" s="6"/>
      <c r="C927" s="6"/>
      <c r="D927" s="6"/>
      <c r="E927" s="6"/>
      <c r="F927" s="6"/>
      <c r="G927" s="83"/>
      <c r="H927" s="83"/>
      <c r="I927" s="83"/>
      <c r="J927" s="83"/>
      <c r="K927" s="83"/>
      <c r="L927" s="83"/>
      <c r="M927" s="6"/>
      <c r="N927" s="83"/>
      <c r="O927" s="83"/>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7"/>
    </row>
    <row r="928" ht="15.75" customHeight="1">
      <c r="A928" s="6"/>
      <c r="B928" s="6"/>
      <c r="C928" s="6"/>
      <c r="D928" s="6"/>
      <c r="E928" s="6"/>
      <c r="F928" s="6"/>
      <c r="G928" s="83"/>
      <c r="H928" s="83"/>
      <c r="I928" s="83"/>
      <c r="J928" s="83"/>
      <c r="K928" s="83"/>
      <c r="L928" s="83"/>
      <c r="M928" s="6"/>
      <c r="N928" s="83"/>
      <c r="O928" s="83"/>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7"/>
    </row>
    <row r="929" ht="15.75" customHeight="1">
      <c r="A929" s="6"/>
      <c r="B929" s="6"/>
      <c r="C929" s="6"/>
      <c r="D929" s="6"/>
      <c r="E929" s="6"/>
      <c r="F929" s="6"/>
      <c r="G929" s="83"/>
      <c r="H929" s="83"/>
      <c r="I929" s="83"/>
      <c r="J929" s="83"/>
      <c r="K929" s="83"/>
      <c r="L929" s="83"/>
      <c r="M929" s="6"/>
      <c r="N929" s="83"/>
      <c r="O929" s="83"/>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7"/>
    </row>
    <row r="930" ht="15.75" customHeight="1">
      <c r="A930" s="6"/>
      <c r="B930" s="6"/>
      <c r="C930" s="6"/>
      <c r="D930" s="6"/>
      <c r="E930" s="6"/>
      <c r="F930" s="6"/>
      <c r="G930" s="83"/>
      <c r="H930" s="83"/>
      <c r="I930" s="83"/>
      <c r="J930" s="83"/>
      <c r="K930" s="83"/>
      <c r="L930" s="83"/>
      <c r="M930" s="6"/>
      <c r="N930" s="83"/>
      <c r="O930" s="83"/>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7"/>
    </row>
    <row r="931" ht="15.75" customHeight="1">
      <c r="A931" s="6"/>
      <c r="B931" s="6"/>
      <c r="C931" s="6"/>
      <c r="D931" s="6"/>
      <c r="E931" s="6"/>
      <c r="F931" s="6"/>
      <c r="G931" s="83"/>
      <c r="H931" s="83"/>
      <c r="I931" s="83"/>
      <c r="J931" s="83"/>
      <c r="K931" s="83"/>
      <c r="L931" s="83"/>
      <c r="M931" s="6"/>
      <c r="N931" s="83"/>
      <c r="O931" s="83"/>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7"/>
    </row>
    <row r="932" ht="15.75" customHeight="1">
      <c r="A932" s="6"/>
      <c r="B932" s="6"/>
      <c r="C932" s="6"/>
      <c r="D932" s="6"/>
      <c r="E932" s="6"/>
      <c r="F932" s="6"/>
      <c r="G932" s="83"/>
      <c r="H932" s="83"/>
      <c r="I932" s="83"/>
      <c r="J932" s="83"/>
      <c r="K932" s="83"/>
      <c r="L932" s="83"/>
      <c r="M932" s="6"/>
      <c r="N932" s="83"/>
      <c r="O932" s="83"/>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7"/>
    </row>
    <row r="933" ht="15.75" customHeight="1">
      <c r="A933" s="6"/>
      <c r="B933" s="6"/>
      <c r="C933" s="6"/>
      <c r="D933" s="6"/>
      <c r="E933" s="6"/>
      <c r="F933" s="6"/>
      <c r="G933" s="83"/>
      <c r="H933" s="83"/>
      <c r="I933" s="83"/>
      <c r="J933" s="83"/>
      <c r="K933" s="83"/>
      <c r="L933" s="83"/>
      <c r="M933" s="6"/>
      <c r="N933" s="83"/>
      <c r="O933" s="83"/>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7"/>
    </row>
    <row r="934" ht="15.75" customHeight="1">
      <c r="A934" s="6"/>
      <c r="B934" s="6"/>
      <c r="C934" s="6"/>
      <c r="D934" s="6"/>
      <c r="E934" s="6"/>
      <c r="F934" s="6"/>
      <c r="G934" s="83"/>
      <c r="H934" s="83"/>
      <c r="I934" s="83"/>
      <c r="J934" s="83"/>
      <c r="K934" s="83"/>
      <c r="L934" s="83"/>
      <c r="M934" s="6"/>
      <c r="N934" s="83"/>
      <c r="O934" s="83"/>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7"/>
    </row>
    <row r="935" ht="15.75" customHeight="1">
      <c r="A935" s="6"/>
      <c r="B935" s="6"/>
      <c r="C935" s="6"/>
      <c r="D935" s="6"/>
      <c r="E935" s="6"/>
      <c r="F935" s="6"/>
      <c r="G935" s="83"/>
      <c r="H935" s="83"/>
      <c r="I935" s="83"/>
      <c r="J935" s="83"/>
      <c r="K935" s="83"/>
      <c r="L935" s="83"/>
      <c r="M935" s="6"/>
      <c r="N935" s="83"/>
      <c r="O935" s="83"/>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7"/>
    </row>
    <row r="936" ht="15.75" customHeight="1">
      <c r="A936" s="6"/>
      <c r="B936" s="6"/>
      <c r="C936" s="6"/>
      <c r="D936" s="6"/>
      <c r="E936" s="6"/>
      <c r="F936" s="6"/>
      <c r="G936" s="83"/>
      <c r="H936" s="83"/>
      <c r="I936" s="83"/>
      <c r="J936" s="83"/>
      <c r="K936" s="83"/>
      <c r="L936" s="83"/>
      <c r="M936" s="6"/>
      <c r="N936" s="83"/>
      <c r="O936" s="83"/>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7"/>
    </row>
    <row r="937" ht="15.75" customHeight="1">
      <c r="A937" s="6"/>
      <c r="B937" s="6"/>
      <c r="C937" s="6"/>
      <c r="D937" s="6"/>
      <c r="E937" s="6"/>
      <c r="F937" s="6"/>
      <c r="G937" s="83"/>
      <c r="H937" s="83"/>
      <c r="I937" s="83"/>
      <c r="J937" s="83"/>
      <c r="K937" s="83"/>
      <c r="L937" s="83"/>
      <c r="M937" s="6"/>
      <c r="N937" s="83"/>
      <c r="O937" s="83"/>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7"/>
    </row>
    <row r="938" ht="15.75" customHeight="1">
      <c r="A938" s="6"/>
      <c r="B938" s="6"/>
      <c r="C938" s="6"/>
      <c r="D938" s="6"/>
      <c r="E938" s="6"/>
      <c r="F938" s="6"/>
      <c r="G938" s="83"/>
      <c r="H938" s="83"/>
      <c r="I938" s="83"/>
      <c r="J938" s="83"/>
      <c r="K938" s="83"/>
      <c r="L938" s="83"/>
      <c r="M938" s="6"/>
      <c r="N938" s="83"/>
      <c r="O938" s="83"/>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7"/>
    </row>
    <row r="939" ht="15.75" customHeight="1">
      <c r="A939" s="6"/>
      <c r="B939" s="6"/>
      <c r="C939" s="6"/>
      <c r="D939" s="6"/>
      <c r="E939" s="6"/>
      <c r="F939" s="6"/>
      <c r="G939" s="83"/>
      <c r="H939" s="83"/>
      <c r="I939" s="83"/>
      <c r="J939" s="83"/>
      <c r="K939" s="83"/>
      <c r="L939" s="83"/>
      <c r="M939" s="6"/>
      <c r="N939" s="83"/>
      <c r="O939" s="83"/>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7"/>
    </row>
    <row r="940" ht="15.75" customHeight="1">
      <c r="A940" s="6"/>
      <c r="B940" s="6"/>
      <c r="C940" s="6"/>
      <c r="D940" s="6"/>
      <c r="E940" s="6"/>
      <c r="F940" s="6"/>
      <c r="G940" s="83"/>
      <c r="H940" s="83"/>
      <c r="I940" s="83"/>
      <c r="J940" s="83"/>
      <c r="K940" s="83"/>
      <c r="L940" s="83"/>
      <c r="M940" s="6"/>
      <c r="N940" s="83"/>
      <c r="O940" s="83"/>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7"/>
    </row>
    <row r="941" ht="15.75" customHeight="1">
      <c r="A941" s="6"/>
      <c r="B941" s="6"/>
      <c r="C941" s="6"/>
      <c r="D941" s="6"/>
      <c r="E941" s="6"/>
      <c r="F941" s="6"/>
      <c r="G941" s="83"/>
      <c r="H941" s="83"/>
      <c r="I941" s="83"/>
      <c r="J941" s="83"/>
      <c r="K941" s="83"/>
      <c r="L941" s="83"/>
      <c r="M941" s="6"/>
      <c r="N941" s="83"/>
      <c r="O941" s="83"/>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7"/>
    </row>
    <row r="942" ht="15.75" customHeight="1">
      <c r="A942" s="6"/>
      <c r="B942" s="6"/>
      <c r="C942" s="6"/>
      <c r="D942" s="6"/>
      <c r="E942" s="6"/>
      <c r="F942" s="6"/>
      <c r="G942" s="83"/>
      <c r="H942" s="83"/>
      <c r="I942" s="83"/>
      <c r="J942" s="83"/>
      <c r="K942" s="83"/>
      <c r="L942" s="83"/>
      <c r="M942" s="6"/>
      <c r="N942" s="83"/>
      <c r="O942" s="83"/>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7"/>
    </row>
    <row r="943" ht="15.75" customHeight="1">
      <c r="A943" s="6"/>
      <c r="B943" s="6"/>
      <c r="C943" s="6"/>
      <c r="D943" s="6"/>
      <c r="E943" s="6"/>
      <c r="F943" s="6"/>
      <c r="G943" s="83"/>
      <c r="H943" s="83"/>
      <c r="I943" s="83"/>
      <c r="J943" s="83"/>
      <c r="K943" s="83"/>
      <c r="L943" s="83"/>
      <c r="M943" s="6"/>
      <c r="N943" s="83"/>
      <c r="O943" s="83"/>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7"/>
    </row>
    <row r="944" ht="15.75" customHeight="1">
      <c r="A944" s="6"/>
      <c r="B944" s="6"/>
      <c r="C944" s="6"/>
      <c r="D944" s="6"/>
      <c r="E944" s="6"/>
      <c r="F944" s="6"/>
      <c r="G944" s="83"/>
      <c r="H944" s="83"/>
      <c r="I944" s="83"/>
      <c r="J944" s="83"/>
      <c r="K944" s="83"/>
      <c r="L944" s="83"/>
      <c r="M944" s="6"/>
      <c r="N944" s="83"/>
      <c r="O944" s="83"/>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7"/>
    </row>
    <row r="945" ht="15.75" customHeight="1">
      <c r="A945" s="6"/>
      <c r="B945" s="6"/>
      <c r="C945" s="6"/>
      <c r="D945" s="6"/>
      <c r="E945" s="6"/>
      <c r="F945" s="6"/>
      <c r="G945" s="83"/>
      <c r="H945" s="83"/>
      <c r="I945" s="83"/>
      <c r="J945" s="83"/>
      <c r="K945" s="83"/>
      <c r="L945" s="83"/>
      <c r="M945" s="6"/>
      <c r="N945" s="83"/>
      <c r="O945" s="83"/>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7"/>
    </row>
    <row r="946" ht="15.75" customHeight="1">
      <c r="A946" s="6"/>
      <c r="B946" s="6"/>
      <c r="C946" s="6"/>
      <c r="D946" s="6"/>
      <c r="E946" s="6"/>
      <c r="F946" s="6"/>
      <c r="G946" s="83"/>
      <c r="H946" s="83"/>
      <c r="I946" s="83"/>
      <c r="J946" s="83"/>
      <c r="K946" s="83"/>
      <c r="L946" s="83"/>
      <c r="M946" s="6"/>
      <c r="N946" s="83"/>
      <c r="O946" s="83"/>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7"/>
    </row>
    <row r="947" ht="15.75" customHeight="1">
      <c r="A947" s="6"/>
      <c r="B947" s="6"/>
      <c r="C947" s="6"/>
      <c r="D947" s="6"/>
      <c r="E947" s="6"/>
      <c r="F947" s="6"/>
      <c r="G947" s="83"/>
      <c r="H947" s="83"/>
      <c r="I947" s="83"/>
      <c r="J947" s="83"/>
      <c r="K947" s="83"/>
      <c r="L947" s="83"/>
      <c r="M947" s="6"/>
      <c r="N947" s="83"/>
      <c r="O947" s="83"/>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7"/>
    </row>
    <row r="948" ht="15.75" customHeight="1">
      <c r="A948" s="6"/>
      <c r="B948" s="6"/>
      <c r="C948" s="6"/>
      <c r="D948" s="6"/>
      <c r="E948" s="6"/>
      <c r="F948" s="6"/>
      <c r="G948" s="83"/>
      <c r="H948" s="83"/>
      <c r="I948" s="83"/>
      <c r="J948" s="83"/>
      <c r="K948" s="83"/>
      <c r="L948" s="83"/>
      <c r="M948" s="6"/>
      <c r="N948" s="83"/>
      <c r="O948" s="83"/>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7"/>
    </row>
    <row r="949" ht="15.75" customHeight="1">
      <c r="A949" s="6"/>
      <c r="B949" s="6"/>
      <c r="C949" s="6"/>
      <c r="D949" s="6"/>
      <c r="E949" s="6"/>
      <c r="F949" s="6"/>
      <c r="G949" s="83"/>
      <c r="H949" s="83"/>
      <c r="I949" s="83"/>
      <c r="J949" s="83"/>
      <c r="K949" s="83"/>
      <c r="L949" s="83"/>
      <c r="M949" s="6"/>
      <c r="N949" s="83"/>
      <c r="O949" s="83"/>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7"/>
    </row>
    <row r="950" ht="15.75" customHeight="1">
      <c r="A950" s="6"/>
      <c r="B950" s="6"/>
      <c r="C950" s="6"/>
      <c r="D950" s="6"/>
      <c r="E950" s="6"/>
      <c r="F950" s="6"/>
      <c r="G950" s="83"/>
      <c r="H950" s="83"/>
      <c r="I950" s="83"/>
      <c r="J950" s="83"/>
      <c r="K950" s="83"/>
      <c r="L950" s="83"/>
      <c r="M950" s="6"/>
      <c r="N950" s="83"/>
      <c r="O950" s="83"/>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7"/>
    </row>
    <row r="951" ht="15.75" customHeight="1">
      <c r="A951" s="6"/>
      <c r="B951" s="6"/>
      <c r="C951" s="6"/>
      <c r="D951" s="6"/>
      <c r="E951" s="6"/>
      <c r="F951" s="6"/>
      <c r="G951" s="83"/>
      <c r="H951" s="83"/>
      <c r="I951" s="83"/>
      <c r="J951" s="83"/>
      <c r="K951" s="83"/>
      <c r="L951" s="83"/>
      <c r="M951" s="6"/>
      <c r="N951" s="83"/>
      <c r="O951" s="83"/>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7"/>
    </row>
    <row r="952" ht="15.75" customHeight="1">
      <c r="A952" s="6"/>
      <c r="B952" s="6"/>
      <c r="C952" s="6"/>
      <c r="D952" s="6"/>
      <c r="E952" s="6"/>
      <c r="F952" s="6"/>
      <c r="G952" s="83"/>
      <c r="H952" s="83"/>
      <c r="I952" s="83"/>
      <c r="J952" s="83"/>
      <c r="K952" s="83"/>
      <c r="L952" s="83"/>
      <c r="M952" s="6"/>
      <c r="N952" s="83"/>
      <c r="O952" s="83"/>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7"/>
    </row>
    <row r="953" ht="15.75" customHeight="1">
      <c r="A953" s="6"/>
      <c r="B953" s="6"/>
      <c r="C953" s="6"/>
      <c r="D953" s="6"/>
      <c r="E953" s="6"/>
      <c r="F953" s="6"/>
      <c r="G953" s="83"/>
      <c r="H953" s="83"/>
      <c r="I953" s="83"/>
      <c r="J953" s="83"/>
      <c r="K953" s="83"/>
      <c r="L953" s="83"/>
      <c r="M953" s="6"/>
      <c r="N953" s="83"/>
      <c r="O953" s="83"/>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7"/>
    </row>
    <row r="954" ht="15.75" customHeight="1">
      <c r="A954" s="6"/>
      <c r="B954" s="6"/>
      <c r="C954" s="6"/>
      <c r="D954" s="6"/>
      <c r="E954" s="6"/>
      <c r="F954" s="6"/>
      <c r="G954" s="83"/>
      <c r="H954" s="83"/>
      <c r="I954" s="83"/>
      <c r="J954" s="83"/>
      <c r="K954" s="83"/>
      <c r="L954" s="83"/>
      <c r="M954" s="6"/>
      <c r="N954" s="83"/>
      <c r="O954" s="83"/>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7"/>
    </row>
    <row r="955" ht="15.75" customHeight="1">
      <c r="A955" s="6"/>
      <c r="B955" s="6"/>
      <c r="C955" s="6"/>
      <c r="D955" s="6"/>
      <c r="E955" s="6"/>
      <c r="F955" s="6"/>
      <c r="G955" s="83"/>
      <c r="H955" s="83"/>
      <c r="I955" s="83"/>
      <c r="J955" s="83"/>
      <c r="K955" s="83"/>
      <c r="L955" s="83"/>
      <c r="M955" s="6"/>
      <c r="N955" s="83"/>
      <c r="O955" s="83"/>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7"/>
    </row>
    <row r="956" ht="15.75" customHeight="1">
      <c r="A956" s="6"/>
      <c r="B956" s="6"/>
      <c r="C956" s="6"/>
      <c r="D956" s="6"/>
      <c r="E956" s="6"/>
      <c r="F956" s="6"/>
      <c r="G956" s="83"/>
      <c r="H956" s="83"/>
      <c r="I956" s="83"/>
      <c r="J956" s="83"/>
      <c r="K956" s="83"/>
      <c r="L956" s="83"/>
      <c r="M956" s="6"/>
      <c r="N956" s="83"/>
      <c r="O956" s="83"/>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7"/>
    </row>
    <row r="957" ht="15.75" customHeight="1">
      <c r="A957" s="6"/>
      <c r="B957" s="6"/>
      <c r="C957" s="6"/>
      <c r="D957" s="6"/>
      <c r="E957" s="6"/>
      <c r="F957" s="6"/>
      <c r="G957" s="83"/>
      <c r="H957" s="83"/>
      <c r="I957" s="83"/>
      <c r="J957" s="83"/>
      <c r="K957" s="83"/>
      <c r="L957" s="83"/>
      <c r="M957" s="6"/>
      <c r="N957" s="83"/>
      <c r="O957" s="83"/>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7"/>
    </row>
    <row r="958" ht="15.75" customHeight="1">
      <c r="A958" s="6"/>
      <c r="B958" s="6"/>
      <c r="C958" s="6"/>
      <c r="D958" s="6"/>
      <c r="E958" s="6"/>
      <c r="F958" s="6"/>
      <c r="G958" s="83"/>
      <c r="H958" s="83"/>
      <c r="I958" s="83"/>
      <c r="J958" s="83"/>
      <c r="K958" s="83"/>
      <c r="L958" s="83"/>
      <c r="M958" s="6"/>
      <c r="N958" s="83"/>
      <c r="O958" s="83"/>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7"/>
    </row>
    <row r="959" ht="15.75" customHeight="1">
      <c r="A959" s="6"/>
      <c r="B959" s="6"/>
      <c r="C959" s="6"/>
      <c r="D959" s="6"/>
      <c r="E959" s="6"/>
      <c r="F959" s="6"/>
      <c r="G959" s="83"/>
      <c r="H959" s="83"/>
      <c r="I959" s="83"/>
      <c r="J959" s="83"/>
      <c r="K959" s="83"/>
      <c r="L959" s="83"/>
      <c r="M959" s="6"/>
      <c r="N959" s="83"/>
      <c r="O959" s="83"/>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7"/>
    </row>
    <row r="960" ht="15.75" customHeight="1">
      <c r="A960" s="6"/>
      <c r="B960" s="6"/>
      <c r="C960" s="6"/>
      <c r="D960" s="6"/>
      <c r="E960" s="6"/>
      <c r="F960" s="6"/>
      <c r="G960" s="83"/>
      <c r="H960" s="83"/>
      <c r="I960" s="83"/>
      <c r="J960" s="83"/>
      <c r="K960" s="83"/>
      <c r="L960" s="83"/>
      <c r="M960" s="6"/>
      <c r="N960" s="83"/>
      <c r="O960" s="83"/>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7"/>
    </row>
    <row r="961" ht="15.75" customHeight="1">
      <c r="A961" s="6"/>
      <c r="B961" s="6"/>
      <c r="C961" s="6"/>
      <c r="D961" s="6"/>
      <c r="E961" s="6"/>
      <c r="F961" s="6"/>
      <c r="G961" s="83"/>
      <c r="H961" s="83"/>
      <c r="I961" s="83"/>
      <c r="J961" s="83"/>
      <c r="K961" s="83"/>
      <c r="L961" s="83"/>
      <c r="M961" s="6"/>
      <c r="N961" s="83"/>
      <c r="O961" s="83"/>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7"/>
    </row>
    <row r="962" ht="15.75" customHeight="1">
      <c r="A962" s="6"/>
      <c r="B962" s="6"/>
      <c r="C962" s="6"/>
      <c r="D962" s="6"/>
      <c r="E962" s="6"/>
      <c r="F962" s="6"/>
      <c r="G962" s="83"/>
      <c r="H962" s="83"/>
      <c r="I962" s="83"/>
      <c r="J962" s="83"/>
      <c r="K962" s="83"/>
      <c r="L962" s="83"/>
      <c r="M962" s="6"/>
      <c r="N962" s="83"/>
      <c r="O962" s="83"/>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7"/>
    </row>
    <row r="963" ht="15.75" customHeight="1">
      <c r="A963" s="6"/>
      <c r="B963" s="6"/>
      <c r="C963" s="6"/>
      <c r="D963" s="6"/>
      <c r="E963" s="6"/>
      <c r="F963" s="6"/>
      <c r="G963" s="83"/>
      <c r="H963" s="83"/>
      <c r="I963" s="83"/>
      <c r="J963" s="83"/>
      <c r="K963" s="83"/>
      <c r="L963" s="83"/>
      <c r="M963" s="6"/>
      <c r="N963" s="83"/>
      <c r="O963" s="83"/>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7"/>
    </row>
    <row r="964" ht="15.75" customHeight="1">
      <c r="A964" s="6"/>
      <c r="B964" s="6"/>
      <c r="C964" s="6"/>
      <c r="D964" s="6"/>
      <c r="E964" s="6"/>
      <c r="F964" s="6"/>
      <c r="G964" s="83"/>
      <c r="H964" s="83"/>
      <c r="I964" s="83"/>
      <c r="J964" s="83"/>
      <c r="K964" s="83"/>
      <c r="L964" s="83"/>
      <c r="M964" s="6"/>
      <c r="N964" s="83"/>
      <c r="O964" s="83"/>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7"/>
    </row>
    <row r="965" ht="15.75" customHeight="1">
      <c r="A965" s="6"/>
      <c r="B965" s="6"/>
      <c r="C965" s="6"/>
      <c r="D965" s="6"/>
      <c r="E965" s="6"/>
      <c r="F965" s="6"/>
      <c r="G965" s="83"/>
      <c r="H965" s="83"/>
      <c r="I965" s="83"/>
      <c r="J965" s="83"/>
      <c r="K965" s="83"/>
      <c r="L965" s="83"/>
      <c r="M965" s="6"/>
      <c r="N965" s="83"/>
      <c r="O965" s="83"/>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7"/>
    </row>
    <row r="966" ht="15.75" customHeight="1">
      <c r="A966" s="6"/>
      <c r="B966" s="6"/>
      <c r="C966" s="6"/>
      <c r="D966" s="6"/>
      <c r="E966" s="6"/>
      <c r="F966" s="6"/>
      <c r="G966" s="83"/>
      <c r="H966" s="83"/>
      <c r="I966" s="83"/>
      <c r="J966" s="83"/>
      <c r="K966" s="83"/>
      <c r="L966" s="83"/>
      <c r="M966" s="6"/>
      <c r="N966" s="83"/>
      <c r="O966" s="83"/>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7"/>
    </row>
    <row r="967" ht="15.75" customHeight="1">
      <c r="A967" s="6"/>
      <c r="B967" s="6"/>
      <c r="C967" s="6"/>
      <c r="D967" s="6"/>
      <c r="E967" s="6"/>
      <c r="F967" s="6"/>
      <c r="G967" s="83"/>
      <c r="H967" s="83"/>
      <c r="I967" s="83"/>
      <c r="J967" s="83"/>
      <c r="K967" s="83"/>
      <c r="L967" s="83"/>
      <c r="M967" s="6"/>
      <c r="N967" s="83"/>
      <c r="O967" s="83"/>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7"/>
    </row>
    <row r="968" ht="15.75" customHeight="1">
      <c r="A968" s="6"/>
      <c r="B968" s="6"/>
      <c r="C968" s="6"/>
      <c r="D968" s="6"/>
      <c r="E968" s="6"/>
      <c r="F968" s="6"/>
      <c r="G968" s="83"/>
      <c r="H968" s="83"/>
      <c r="I968" s="83"/>
      <c r="J968" s="83"/>
      <c r="K968" s="83"/>
      <c r="L968" s="83"/>
      <c r="M968" s="6"/>
      <c r="N968" s="83"/>
      <c r="O968" s="83"/>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7"/>
    </row>
    <row r="969" ht="15.75" customHeight="1">
      <c r="A969" s="6"/>
      <c r="B969" s="6"/>
      <c r="C969" s="6"/>
      <c r="D969" s="6"/>
      <c r="E969" s="6"/>
      <c r="F969" s="6"/>
      <c r="G969" s="83"/>
      <c r="H969" s="83"/>
      <c r="I969" s="83"/>
      <c r="J969" s="83"/>
      <c r="K969" s="83"/>
      <c r="L969" s="83"/>
      <c r="M969" s="6"/>
      <c r="N969" s="83"/>
      <c r="O969" s="83"/>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7"/>
    </row>
    <row r="970" ht="15.75" customHeight="1">
      <c r="A970" s="6"/>
      <c r="B970" s="6"/>
      <c r="C970" s="6"/>
      <c r="D970" s="6"/>
      <c r="E970" s="6"/>
      <c r="F970" s="6"/>
      <c r="G970" s="83"/>
      <c r="H970" s="83"/>
      <c r="I970" s="83"/>
      <c r="J970" s="83"/>
      <c r="K970" s="83"/>
      <c r="L970" s="83"/>
      <c r="M970" s="6"/>
      <c r="N970" s="83"/>
      <c r="O970" s="83"/>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7"/>
    </row>
    <row r="971" ht="15.75" customHeight="1">
      <c r="A971" s="6"/>
      <c r="B971" s="6"/>
      <c r="C971" s="6"/>
      <c r="D971" s="6"/>
      <c r="E971" s="6"/>
      <c r="F971" s="6"/>
      <c r="G971" s="83"/>
      <c r="H971" s="83"/>
      <c r="I971" s="83"/>
      <c r="J971" s="83"/>
      <c r="K971" s="83"/>
      <c r="L971" s="83"/>
      <c r="M971" s="6"/>
      <c r="N971" s="83"/>
      <c r="O971" s="83"/>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7"/>
    </row>
    <row r="972" ht="15.75" customHeight="1">
      <c r="A972" s="6"/>
      <c r="B972" s="6"/>
      <c r="C972" s="6"/>
      <c r="D972" s="6"/>
      <c r="E972" s="6"/>
      <c r="F972" s="6"/>
      <c r="G972" s="83"/>
      <c r="H972" s="83"/>
      <c r="I972" s="83"/>
      <c r="J972" s="83"/>
      <c r="K972" s="83"/>
      <c r="L972" s="83"/>
      <c r="M972" s="6"/>
      <c r="N972" s="83"/>
      <c r="O972" s="83"/>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7"/>
    </row>
    <row r="973" ht="15.75" customHeight="1">
      <c r="A973" s="6"/>
      <c r="B973" s="6"/>
      <c r="C973" s="6"/>
      <c r="D973" s="6"/>
      <c r="E973" s="6"/>
      <c r="F973" s="6"/>
      <c r="G973" s="83"/>
      <c r="H973" s="83"/>
      <c r="I973" s="83"/>
      <c r="J973" s="83"/>
      <c r="K973" s="83"/>
      <c r="L973" s="83"/>
      <c r="M973" s="6"/>
      <c r="N973" s="83"/>
      <c r="O973" s="83"/>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7"/>
    </row>
    <row r="974" ht="15.75" customHeight="1">
      <c r="A974" s="6"/>
      <c r="B974" s="6"/>
      <c r="C974" s="6"/>
      <c r="D974" s="6"/>
      <c r="E974" s="6"/>
      <c r="F974" s="6"/>
      <c r="G974" s="83"/>
      <c r="H974" s="83"/>
      <c r="I974" s="83"/>
      <c r="J974" s="83"/>
      <c r="K974" s="83"/>
      <c r="L974" s="83"/>
      <c r="M974" s="6"/>
      <c r="N974" s="83"/>
      <c r="O974" s="83"/>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7"/>
    </row>
    <row r="975" ht="15.75" customHeight="1">
      <c r="A975" s="6"/>
      <c r="B975" s="6"/>
      <c r="C975" s="6"/>
      <c r="D975" s="6"/>
      <c r="E975" s="6"/>
      <c r="F975" s="6"/>
      <c r="G975" s="83"/>
      <c r="H975" s="83"/>
      <c r="I975" s="83"/>
      <c r="J975" s="83"/>
      <c r="K975" s="83"/>
      <c r="L975" s="83"/>
      <c r="M975" s="6"/>
      <c r="N975" s="83"/>
      <c r="O975" s="83"/>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7"/>
    </row>
    <row r="976" ht="15.75" customHeight="1">
      <c r="A976" s="6"/>
      <c r="B976" s="6"/>
      <c r="C976" s="6"/>
      <c r="D976" s="6"/>
      <c r="E976" s="6"/>
      <c r="F976" s="6"/>
      <c r="G976" s="83"/>
      <c r="H976" s="83"/>
      <c r="I976" s="83"/>
      <c r="J976" s="83"/>
      <c r="K976" s="83"/>
      <c r="L976" s="83"/>
      <c r="M976" s="6"/>
      <c r="N976" s="83"/>
      <c r="O976" s="83"/>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7"/>
    </row>
    <row r="977" ht="15.75" customHeight="1">
      <c r="A977" s="6"/>
      <c r="B977" s="6"/>
      <c r="C977" s="6"/>
      <c r="D977" s="6"/>
      <c r="E977" s="6"/>
      <c r="F977" s="6"/>
      <c r="G977" s="83"/>
      <c r="H977" s="83"/>
      <c r="I977" s="83"/>
      <c r="J977" s="83"/>
      <c r="K977" s="83"/>
      <c r="L977" s="83"/>
      <c r="M977" s="6"/>
      <c r="N977" s="83"/>
      <c r="O977" s="83"/>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7"/>
    </row>
    <row r="978" ht="15.75" customHeight="1">
      <c r="A978" s="6"/>
      <c r="B978" s="6"/>
      <c r="C978" s="6"/>
      <c r="D978" s="6"/>
      <c r="E978" s="6"/>
      <c r="F978" s="6"/>
      <c r="G978" s="83"/>
      <c r="H978" s="83"/>
      <c r="I978" s="83"/>
      <c r="J978" s="83"/>
      <c r="K978" s="83"/>
      <c r="L978" s="83"/>
      <c r="M978" s="6"/>
      <c r="N978" s="83"/>
      <c r="O978" s="83"/>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7"/>
    </row>
    <row r="979" ht="15.75" customHeight="1">
      <c r="A979" s="6"/>
      <c r="B979" s="6"/>
      <c r="C979" s="6"/>
      <c r="D979" s="6"/>
      <c r="E979" s="6"/>
      <c r="F979" s="6"/>
      <c r="G979" s="83"/>
      <c r="H979" s="83"/>
      <c r="I979" s="83"/>
      <c r="J979" s="83"/>
      <c r="K979" s="83"/>
      <c r="L979" s="83"/>
      <c r="M979" s="6"/>
      <c r="N979" s="83"/>
      <c r="O979" s="83"/>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7"/>
    </row>
    <row r="980" ht="15.75" customHeight="1">
      <c r="A980" s="6"/>
      <c r="B980" s="6"/>
      <c r="C980" s="6"/>
      <c r="D980" s="6"/>
      <c r="E980" s="6"/>
      <c r="F980" s="6"/>
      <c r="G980" s="83"/>
      <c r="H980" s="83"/>
      <c r="I980" s="83"/>
      <c r="J980" s="83"/>
      <c r="K980" s="83"/>
      <c r="L980" s="83"/>
      <c r="M980" s="6"/>
      <c r="N980" s="83"/>
      <c r="O980" s="83"/>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7"/>
    </row>
    <row r="981" ht="15.75" customHeight="1">
      <c r="A981" s="6"/>
      <c r="B981" s="6"/>
      <c r="C981" s="6"/>
      <c r="D981" s="6"/>
      <c r="E981" s="6"/>
      <c r="F981" s="6"/>
      <c r="G981" s="83"/>
      <c r="H981" s="83"/>
      <c r="I981" s="83"/>
      <c r="J981" s="83"/>
      <c r="K981" s="83"/>
      <c r="L981" s="83"/>
      <c r="M981" s="6"/>
      <c r="N981" s="83"/>
      <c r="O981" s="83"/>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7"/>
    </row>
    <row r="982" ht="15.75" customHeight="1">
      <c r="A982" s="6"/>
      <c r="B982" s="6"/>
      <c r="C982" s="6"/>
      <c r="D982" s="6"/>
      <c r="E982" s="6"/>
      <c r="F982" s="6"/>
      <c r="G982" s="83"/>
      <c r="H982" s="83"/>
      <c r="I982" s="83"/>
      <c r="J982" s="83"/>
      <c r="K982" s="83"/>
      <c r="L982" s="83"/>
      <c r="M982" s="6"/>
      <c r="N982" s="83"/>
      <c r="O982" s="83"/>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7"/>
    </row>
    <row r="983" ht="15.75" customHeight="1">
      <c r="A983" s="6"/>
      <c r="B983" s="6"/>
      <c r="C983" s="6"/>
      <c r="D983" s="6"/>
      <c r="E983" s="6"/>
      <c r="F983" s="6"/>
      <c r="G983" s="83"/>
      <c r="H983" s="83"/>
      <c r="I983" s="83"/>
      <c r="J983" s="83"/>
      <c r="K983" s="83"/>
      <c r="L983" s="83"/>
      <c r="M983" s="6"/>
      <c r="N983" s="83"/>
      <c r="O983" s="83"/>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7"/>
    </row>
    <row r="984" ht="15.75" customHeight="1">
      <c r="A984" s="6"/>
      <c r="B984" s="6"/>
      <c r="C984" s="6"/>
      <c r="D984" s="6"/>
      <c r="E984" s="6"/>
      <c r="F984" s="6"/>
      <c r="G984" s="83"/>
      <c r="H984" s="83"/>
      <c r="I984" s="83"/>
      <c r="J984" s="83"/>
      <c r="K984" s="83"/>
      <c r="L984" s="83"/>
      <c r="M984" s="6"/>
      <c r="N984" s="83"/>
      <c r="O984" s="83"/>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7"/>
    </row>
    <row r="985" ht="15.75" customHeight="1">
      <c r="A985" s="6"/>
      <c r="B985" s="6"/>
      <c r="C985" s="6"/>
      <c r="D985" s="6"/>
      <c r="E985" s="6"/>
      <c r="F985" s="6"/>
      <c r="G985" s="83"/>
      <c r="H985" s="83"/>
      <c r="I985" s="83"/>
      <c r="J985" s="83"/>
      <c r="K985" s="83"/>
      <c r="L985" s="83"/>
      <c r="M985" s="6"/>
      <c r="N985" s="83"/>
      <c r="O985" s="83"/>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7"/>
    </row>
    <row r="986" ht="15.75" customHeight="1">
      <c r="A986" s="6"/>
      <c r="B986" s="6"/>
      <c r="C986" s="6"/>
      <c r="D986" s="6"/>
      <c r="E986" s="6"/>
      <c r="F986" s="6"/>
      <c r="G986" s="83"/>
      <c r="H986" s="83"/>
      <c r="I986" s="83"/>
      <c r="J986" s="83"/>
      <c r="K986" s="83"/>
      <c r="L986" s="83"/>
      <c r="M986" s="6"/>
      <c r="N986" s="83"/>
      <c r="O986" s="83"/>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7"/>
    </row>
    <row r="987" ht="15.75" customHeight="1">
      <c r="A987" s="6"/>
      <c r="B987" s="6"/>
      <c r="C987" s="6"/>
      <c r="D987" s="6"/>
      <c r="E987" s="6"/>
      <c r="F987" s="6"/>
      <c r="G987" s="83"/>
      <c r="H987" s="83"/>
      <c r="I987" s="83"/>
      <c r="J987" s="83"/>
      <c r="K987" s="83"/>
      <c r="L987" s="83"/>
      <c r="M987" s="6"/>
      <c r="N987" s="83"/>
      <c r="O987" s="83"/>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7"/>
    </row>
    <row r="988" ht="15.75" customHeight="1">
      <c r="A988" s="6"/>
      <c r="B988" s="6"/>
      <c r="C988" s="6"/>
      <c r="D988" s="6"/>
      <c r="E988" s="6"/>
      <c r="F988" s="6"/>
      <c r="G988" s="83"/>
      <c r="H988" s="83"/>
      <c r="I988" s="83"/>
      <c r="J988" s="83"/>
      <c r="K988" s="83"/>
      <c r="L988" s="83"/>
      <c r="M988" s="6"/>
      <c r="N988" s="83"/>
      <c r="O988" s="83"/>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7"/>
    </row>
    <row r="989" ht="15.75" customHeight="1">
      <c r="A989" s="6"/>
      <c r="B989" s="6"/>
      <c r="C989" s="6"/>
      <c r="D989" s="6"/>
      <c r="E989" s="6"/>
      <c r="F989" s="6"/>
      <c r="G989" s="83"/>
      <c r="H989" s="83"/>
      <c r="I989" s="83"/>
      <c r="J989" s="83"/>
      <c r="K989" s="83"/>
      <c r="L989" s="83"/>
      <c r="M989" s="6"/>
      <c r="N989" s="83"/>
      <c r="O989" s="83"/>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7"/>
    </row>
    <row r="990" ht="15.75" customHeight="1">
      <c r="A990" s="6"/>
      <c r="B990" s="6"/>
      <c r="C990" s="6"/>
      <c r="D990" s="6"/>
      <c r="E990" s="6"/>
      <c r="F990" s="6"/>
      <c r="G990" s="83"/>
      <c r="H990" s="83"/>
      <c r="I990" s="83"/>
      <c r="J990" s="83"/>
      <c r="K990" s="83"/>
      <c r="L990" s="83"/>
      <c r="M990" s="6"/>
      <c r="N990" s="83"/>
      <c r="O990" s="83"/>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7"/>
    </row>
    <row r="991" ht="15.75" customHeight="1">
      <c r="A991" s="6"/>
      <c r="B991" s="6"/>
      <c r="C991" s="6"/>
      <c r="D991" s="6"/>
      <c r="E991" s="6"/>
      <c r="F991" s="6"/>
      <c r="G991" s="83"/>
      <c r="H991" s="83"/>
      <c r="I991" s="83"/>
      <c r="J991" s="83"/>
      <c r="K991" s="83"/>
      <c r="L991" s="83"/>
      <c r="M991" s="6"/>
      <c r="N991" s="83"/>
      <c r="O991" s="83"/>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7"/>
    </row>
    <row r="992" ht="15.75" customHeight="1">
      <c r="A992" s="6"/>
      <c r="B992" s="6"/>
      <c r="C992" s="6"/>
      <c r="D992" s="6"/>
      <c r="E992" s="6"/>
      <c r="F992" s="6"/>
      <c r="G992" s="83"/>
      <c r="H992" s="83"/>
      <c r="I992" s="83"/>
      <c r="J992" s="83"/>
      <c r="K992" s="83"/>
      <c r="L992" s="83"/>
      <c r="M992" s="6"/>
      <c r="N992" s="83"/>
      <c r="O992" s="83"/>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7"/>
    </row>
    <row r="993" ht="15.75" customHeight="1">
      <c r="A993" s="6"/>
      <c r="B993" s="6"/>
      <c r="C993" s="6"/>
      <c r="D993" s="6"/>
      <c r="E993" s="6"/>
      <c r="F993" s="6"/>
      <c r="G993" s="83"/>
      <c r="H993" s="83"/>
      <c r="I993" s="83"/>
      <c r="J993" s="83"/>
      <c r="K993" s="83"/>
      <c r="L993" s="83"/>
      <c r="M993" s="6"/>
      <c r="N993" s="83"/>
      <c r="O993" s="83"/>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7"/>
    </row>
    <row r="994" ht="15.75" customHeight="1">
      <c r="A994" s="6"/>
      <c r="B994" s="6"/>
      <c r="C994" s="6"/>
      <c r="D994" s="6"/>
      <c r="E994" s="6"/>
      <c r="F994" s="6"/>
      <c r="G994" s="83"/>
      <c r="H994" s="83"/>
      <c r="I994" s="83"/>
      <c r="J994" s="83"/>
      <c r="K994" s="83"/>
      <c r="L994" s="83"/>
      <c r="M994" s="6"/>
      <c r="N994" s="83"/>
      <c r="O994" s="83"/>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7"/>
    </row>
    <row r="995" ht="15.75" customHeight="1">
      <c r="A995" s="6"/>
      <c r="B995" s="6"/>
      <c r="C995" s="6"/>
      <c r="D995" s="6"/>
      <c r="E995" s="6"/>
      <c r="F995" s="6"/>
      <c r="G995" s="83"/>
      <c r="H995" s="83"/>
      <c r="I995" s="83"/>
      <c r="J995" s="83"/>
      <c r="K995" s="83"/>
      <c r="L995" s="83"/>
      <c r="M995" s="6"/>
      <c r="N995" s="83"/>
      <c r="O995" s="83"/>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7"/>
    </row>
    <row r="996" ht="15.75" customHeight="1">
      <c r="A996" s="6"/>
      <c r="B996" s="6"/>
      <c r="C996" s="6"/>
      <c r="D996" s="6"/>
      <c r="E996" s="6"/>
      <c r="F996" s="6"/>
      <c r="G996" s="83"/>
      <c r="H996" s="83"/>
      <c r="I996" s="83"/>
      <c r="J996" s="83"/>
      <c r="K996" s="83"/>
      <c r="L996" s="83"/>
      <c r="M996" s="6"/>
      <c r="N996" s="83"/>
      <c r="O996" s="83"/>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7"/>
    </row>
    <row r="997" ht="15.75" customHeight="1">
      <c r="A997" s="6"/>
      <c r="B997" s="6"/>
      <c r="C997" s="6"/>
      <c r="D997" s="6"/>
      <c r="E997" s="6"/>
      <c r="F997" s="6"/>
      <c r="G997" s="83"/>
      <c r="H997" s="83"/>
      <c r="I997" s="83"/>
      <c r="J997" s="83"/>
      <c r="K997" s="83"/>
      <c r="L997" s="83"/>
      <c r="M997" s="6"/>
      <c r="N997" s="83"/>
      <c r="O997" s="83"/>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7"/>
    </row>
    <row r="998" ht="15.75" customHeight="1">
      <c r="A998" s="6"/>
      <c r="B998" s="6"/>
      <c r="C998" s="6"/>
      <c r="D998" s="6"/>
      <c r="E998" s="6"/>
      <c r="F998" s="6"/>
      <c r="G998" s="83"/>
      <c r="H998" s="83"/>
      <c r="I998" s="83"/>
      <c r="J998" s="83"/>
      <c r="K998" s="83"/>
      <c r="L998" s="83"/>
      <c r="M998" s="6"/>
      <c r="N998" s="83"/>
      <c r="O998" s="83"/>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7"/>
    </row>
    <row r="999" ht="15.75" customHeight="1">
      <c r="A999" s="6"/>
      <c r="B999" s="6"/>
      <c r="C999" s="6"/>
      <c r="D999" s="6"/>
      <c r="E999" s="6"/>
      <c r="F999" s="6"/>
      <c r="G999" s="83"/>
      <c r="H999" s="83"/>
      <c r="I999" s="83"/>
      <c r="J999" s="83"/>
      <c r="K999" s="83"/>
      <c r="L999" s="83"/>
      <c r="M999" s="6"/>
      <c r="N999" s="83"/>
      <c r="O999" s="83"/>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7"/>
    </row>
    <row r="1000" ht="15.75" customHeight="1">
      <c r="A1000" s="6"/>
      <c r="B1000" s="6"/>
      <c r="C1000" s="6"/>
      <c r="D1000" s="6"/>
      <c r="E1000" s="6"/>
      <c r="F1000" s="6"/>
      <c r="G1000" s="83"/>
      <c r="H1000" s="83"/>
      <c r="I1000" s="83"/>
      <c r="J1000" s="83"/>
      <c r="K1000" s="83"/>
      <c r="L1000" s="83"/>
      <c r="M1000" s="6"/>
      <c r="N1000" s="83"/>
      <c r="O1000" s="83"/>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7"/>
    </row>
  </sheetData>
  <mergeCells count="1816">
    <mergeCell ref="AB39:AB40"/>
    <mergeCell ref="AC39:AC40"/>
    <mergeCell ref="Q39:Q40"/>
    <mergeCell ref="R39:R40"/>
    <mergeCell ref="W39:W40"/>
    <mergeCell ref="X39:X40"/>
    <mergeCell ref="Y39:Y40"/>
    <mergeCell ref="Z39:Z40"/>
    <mergeCell ref="AA39:AA40"/>
    <mergeCell ref="W41:W42"/>
    <mergeCell ref="X41:X42"/>
    <mergeCell ref="Y41:Y42"/>
    <mergeCell ref="Z41:Z42"/>
    <mergeCell ref="AA41:AA42"/>
    <mergeCell ref="AB41:AB42"/>
    <mergeCell ref="AC41:AC42"/>
    <mergeCell ref="AR41:AR42"/>
    <mergeCell ref="AS41:AS42"/>
    <mergeCell ref="AT41:AT42"/>
    <mergeCell ref="AN39:AN40"/>
    <mergeCell ref="AN41:AN42"/>
    <mergeCell ref="AD41:AD42"/>
    <mergeCell ref="AE41:AE42"/>
    <mergeCell ref="AF41:AF42"/>
    <mergeCell ref="AO41:AO42"/>
    <mergeCell ref="AP41:AP42"/>
    <mergeCell ref="AQ41:AQ42"/>
    <mergeCell ref="O43:O44"/>
    <mergeCell ref="P43:P44"/>
    <mergeCell ref="Q43:Q44"/>
    <mergeCell ref="R43:R44"/>
    <mergeCell ref="W43:W44"/>
    <mergeCell ref="X43:X44"/>
    <mergeCell ref="Y43:Y44"/>
    <mergeCell ref="AO43:AO44"/>
    <mergeCell ref="AP43:AP44"/>
    <mergeCell ref="AQ43:AQ44"/>
    <mergeCell ref="AR43:AR44"/>
    <mergeCell ref="AS43:AS44"/>
    <mergeCell ref="AT43:AT44"/>
    <mergeCell ref="AN43:AN44"/>
    <mergeCell ref="Z43:Z44"/>
    <mergeCell ref="AA43:AA44"/>
    <mergeCell ref="AB43:AB44"/>
    <mergeCell ref="AC43:AC44"/>
    <mergeCell ref="AD43:AD44"/>
    <mergeCell ref="AE43:AE44"/>
    <mergeCell ref="AF43:AF44"/>
    <mergeCell ref="A45:A46"/>
    <mergeCell ref="B45:B46"/>
    <mergeCell ref="C45:C46"/>
    <mergeCell ref="D45:D46"/>
    <mergeCell ref="E45:E46"/>
    <mergeCell ref="F45:F46"/>
    <mergeCell ref="G45:G46"/>
    <mergeCell ref="H45:H46"/>
    <mergeCell ref="I45:I46"/>
    <mergeCell ref="J45:J46"/>
    <mergeCell ref="K45:K46"/>
    <mergeCell ref="L45:L46"/>
    <mergeCell ref="M45:M46"/>
    <mergeCell ref="N45:N46"/>
    <mergeCell ref="O45:O46"/>
    <mergeCell ref="P45:P46"/>
    <mergeCell ref="Q45:Q46"/>
    <mergeCell ref="R45:R46"/>
    <mergeCell ref="W45:W46"/>
    <mergeCell ref="X45:X46"/>
    <mergeCell ref="Y45:Y46"/>
    <mergeCell ref="AO45:AO46"/>
    <mergeCell ref="AP45:AP46"/>
    <mergeCell ref="AQ45:AQ46"/>
    <mergeCell ref="AR45:AR46"/>
    <mergeCell ref="AS45:AS46"/>
    <mergeCell ref="AT45:AT46"/>
    <mergeCell ref="AN45:AN46"/>
    <mergeCell ref="Z45:Z46"/>
    <mergeCell ref="AA45:AA46"/>
    <mergeCell ref="AB45:AB46"/>
    <mergeCell ref="AC45:AC46"/>
    <mergeCell ref="AD45:AD46"/>
    <mergeCell ref="AE45:AE46"/>
    <mergeCell ref="AF45:AF46"/>
    <mergeCell ref="H37:H38"/>
    <mergeCell ref="I37:I38"/>
    <mergeCell ref="J37:J38"/>
    <mergeCell ref="K37:K38"/>
    <mergeCell ref="L37:L38"/>
    <mergeCell ref="M37:M38"/>
    <mergeCell ref="N37:N38"/>
    <mergeCell ref="A37:A38"/>
    <mergeCell ref="B37:B38"/>
    <mergeCell ref="C37:C38"/>
    <mergeCell ref="D37:D38"/>
    <mergeCell ref="E37:E38"/>
    <mergeCell ref="F37:F38"/>
    <mergeCell ref="G37:G38"/>
    <mergeCell ref="O41:O42"/>
    <mergeCell ref="P41:P42"/>
    <mergeCell ref="Q41:Q42"/>
    <mergeCell ref="R41:R42"/>
    <mergeCell ref="H41:H42"/>
    <mergeCell ref="I41:I42"/>
    <mergeCell ref="J41:J42"/>
    <mergeCell ref="K41:K42"/>
    <mergeCell ref="L41:L42"/>
    <mergeCell ref="M41:M42"/>
    <mergeCell ref="N41:N42"/>
    <mergeCell ref="A41:A42"/>
    <mergeCell ref="B41:B42"/>
    <mergeCell ref="C41:C42"/>
    <mergeCell ref="D41:D42"/>
    <mergeCell ref="E41:E42"/>
    <mergeCell ref="F41:F42"/>
    <mergeCell ref="G41:G42"/>
    <mergeCell ref="H43:H44"/>
    <mergeCell ref="I43:I44"/>
    <mergeCell ref="J43:J44"/>
    <mergeCell ref="K43:K44"/>
    <mergeCell ref="L43:L44"/>
    <mergeCell ref="M43:M44"/>
    <mergeCell ref="N43:N44"/>
    <mergeCell ref="A43:A44"/>
    <mergeCell ref="B43:B44"/>
    <mergeCell ref="C43:C44"/>
    <mergeCell ref="D43:D44"/>
    <mergeCell ref="E43:E44"/>
    <mergeCell ref="F43:F44"/>
    <mergeCell ref="G43:G44"/>
    <mergeCell ref="AO47:AO48"/>
    <mergeCell ref="AP47:AP48"/>
    <mergeCell ref="AQ47:AQ48"/>
    <mergeCell ref="AR47:AR48"/>
    <mergeCell ref="AS47:AS48"/>
    <mergeCell ref="AT47:AT48"/>
    <mergeCell ref="AN47:AN48"/>
    <mergeCell ref="AO49:AO50"/>
    <mergeCell ref="AP49:AP50"/>
    <mergeCell ref="AQ49:AQ50"/>
    <mergeCell ref="AR49:AR50"/>
    <mergeCell ref="AS49:AS50"/>
    <mergeCell ref="AT49:AT50"/>
    <mergeCell ref="AN49:AN50"/>
    <mergeCell ref="AO51:AO52"/>
    <mergeCell ref="AP51:AP52"/>
    <mergeCell ref="AQ51:AQ52"/>
    <mergeCell ref="AR51:AR52"/>
    <mergeCell ref="AS51:AS52"/>
    <mergeCell ref="AT51:AT52"/>
    <mergeCell ref="AN51:AN52"/>
    <mergeCell ref="AO55:AO56"/>
    <mergeCell ref="AP55:AP56"/>
    <mergeCell ref="AQ55:AQ56"/>
    <mergeCell ref="AR55:AR56"/>
    <mergeCell ref="AS55:AS56"/>
    <mergeCell ref="AT55:AT56"/>
    <mergeCell ref="AN55:AN56"/>
    <mergeCell ref="AO53:AO54"/>
    <mergeCell ref="AP53:AP54"/>
    <mergeCell ref="AQ53:AQ54"/>
    <mergeCell ref="AR53:AR54"/>
    <mergeCell ref="AS53:AS54"/>
    <mergeCell ref="AT53:AT54"/>
    <mergeCell ref="AN53:AN54"/>
    <mergeCell ref="O55:O56"/>
    <mergeCell ref="P55:P56"/>
    <mergeCell ref="H55:H56"/>
    <mergeCell ref="I55:I56"/>
    <mergeCell ref="J55:J56"/>
    <mergeCell ref="K55:K56"/>
    <mergeCell ref="L55:L56"/>
    <mergeCell ref="M55:M56"/>
    <mergeCell ref="N55:N56"/>
    <mergeCell ref="O37:O38"/>
    <mergeCell ref="P37:P38"/>
    <mergeCell ref="Q37:Q38"/>
    <mergeCell ref="R37:R38"/>
    <mergeCell ref="W37:W38"/>
    <mergeCell ref="X37:X38"/>
    <mergeCell ref="Y37:Y38"/>
    <mergeCell ref="Z37:Z38"/>
    <mergeCell ref="AA37:AA38"/>
    <mergeCell ref="AB37:AB38"/>
    <mergeCell ref="AC37:AC38"/>
    <mergeCell ref="AD37:AD38"/>
    <mergeCell ref="AE37:AE38"/>
    <mergeCell ref="AF37:AF38"/>
    <mergeCell ref="H35:H36"/>
    <mergeCell ref="I35:I36"/>
    <mergeCell ref="J35:J36"/>
    <mergeCell ref="K35:K36"/>
    <mergeCell ref="L35:L36"/>
    <mergeCell ref="M35:M36"/>
    <mergeCell ref="N35:N36"/>
    <mergeCell ref="O35:O36"/>
    <mergeCell ref="P35:P36"/>
    <mergeCell ref="Q35:Q36"/>
    <mergeCell ref="R35:R36"/>
    <mergeCell ref="W35:W36"/>
    <mergeCell ref="X35:X36"/>
    <mergeCell ref="Y35:Y36"/>
    <mergeCell ref="A35:A36"/>
    <mergeCell ref="B35:B36"/>
    <mergeCell ref="C35:C36"/>
    <mergeCell ref="D35:D36"/>
    <mergeCell ref="E35:E36"/>
    <mergeCell ref="F35:F36"/>
    <mergeCell ref="G35:G36"/>
    <mergeCell ref="A39:A40"/>
    <mergeCell ref="B39:B40"/>
    <mergeCell ref="C39:C40"/>
    <mergeCell ref="D39:D40"/>
    <mergeCell ref="E39:E40"/>
    <mergeCell ref="F39:F40"/>
    <mergeCell ref="G39:G40"/>
    <mergeCell ref="AD39:AD40"/>
    <mergeCell ref="AE39:AE40"/>
    <mergeCell ref="AF39:AF40"/>
    <mergeCell ref="Z35:Z36"/>
    <mergeCell ref="AA35:AA36"/>
    <mergeCell ref="AB35:AB36"/>
    <mergeCell ref="AC35:AC36"/>
    <mergeCell ref="AD35:AD36"/>
    <mergeCell ref="AE35:AE36"/>
    <mergeCell ref="AF35:AF36"/>
    <mergeCell ref="AN37:AN38"/>
    <mergeCell ref="AN35:AN36"/>
    <mergeCell ref="AB55:AB56"/>
    <mergeCell ref="AC55:AC56"/>
    <mergeCell ref="Q55:Q56"/>
    <mergeCell ref="R55:R56"/>
    <mergeCell ref="W55:W56"/>
    <mergeCell ref="X55:X56"/>
    <mergeCell ref="Y55:Y56"/>
    <mergeCell ref="Z55:Z56"/>
    <mergeCell ref="AA55:AA56"/>
    <mergeCell ref="W57:W58"/>
    <mergeCell ref="X57:X58"/>
    <mergeCell ref="Y57:Y58"/>
    <mergeCell ref="Z57:Z58"/>
    <mergeCell ref="AA57:AA58"/>
    <mergeCell ref="AB57:AB58"/>
    <mergeCell ref="AC57:AC58"/>
    <mergeCell ref="AR57:AR58"/>
    <mergeCell ref="AS57:AS58"/>
    <mergeCell ref="AT57:AT58"/>
    <mergeCell ref="AD57:AD58"/>
    <mergeCell ref="AE57:AE58"/>
    <mergeCell ref="AF57:AF58"/>
    <mergeCell ref="AO57:AO58"/>
    <mergeCell ref="AP57:AP58"/>
    <mergeCell ref="AQ57:AQ58"/>
    <mergeCell ref="AN57:AN58"/>
    <mergeCell ref="H51:H52"/>
    <mergeCell ref="I51:I52"/>
    <mergeCell ref="J51:J52"/>
    <mergeCell ref="K51:K52"/>
    <mergeCell ref="L51:L52"/>
    <mergeCell ref="M51:M52"/>
    <mergeCell ref="N51:N52"/>
    <mergeCell ref="Z51:Z52"/>
    <mergeCell ref="AA51:AA52"/>
    <mergeCell ref="AB51:AB52"/>
    <mergeCell ref="AC51:AC52"/>
    <mergeCell ref="AD51:AD52"/>
    <mergeCell ref="AE51:AE52"/>
    <mergeCell ref="AF51:AF52"/>
    <mergeCell ref="O51:O52"/>
    <mergeCell ref="P51:P52"/>
    <mergeCell ref="Q51:Q52"/>
    <mergeCell ref="R51:R52"/>
    <mergeCell ref="W51:W52"/>
    <mergeCell ref="X51:X52"/>
    <mergeCell ref="Y51:Y52"/>
    <mergeCell ref="A51:A52"/>
    <mergeCell ref="B51:B52"/>
    <mergeCell ref="C51:C52"/>
    <mergeCell ref="D51:D52"/>
    <mergeCell ref="E51:E52"/>
    <mergeCell ref="F51:F52"/>
    <mergeCell ref="G51:G52"/>
    <mergeCell ref="O53:O54"/>
    <mergeCell ref="P53:P54"/>
    <mergeCell ref="Q53:Q54"/>
    <mergeCell ref="R53:R54"/>
    <mergeCell ref="W53:W54"/>
    <mergeCell ref="X53:X54"/>
    <mergeCell ref="Y53:Y54"/>
    <mergeCell ref="A55:A56"/>
    <mergeCell ref="B55:B56"/>
    <mergeCell ref="C55:C56"/>
    <mergeCell ref="D55:D56"/>
    <mergeCell ref="E55:E56"/>
    <mergeCell ref="F55:F56"/>
    <mergeCell ref="G55:G56"/>
    <mergeCell ref="AD55:AD56"/>
    <mergeCell ref="AE55:AE56"/>
    <mergeCell ref="AF55:AF56"/>
    <mergeCell ref="Z53:Z54"/>
    <mergeCell ref="AA53:AA54"/>
    <mergeCell ref="AB53:AB54"/>
    <mergeCell ref="AC53:AC54"/>
    <mergeCell ref="AD53:AD54"/>
    <mergeCell ref="AE53:AE54"/>
    <mergeCell ref="AF53:AF54"/>
    <mergeCell ref="O59:O60"/>
    <mergeCell ref="P59:P60"/>
    <mergeCell ref="Q59:Q60"/>
    <mergeCell ref="R59:R60"/>
    <mergeCell ref="W59:W60"/>
    <mergeCell ref="X59:X60"/>
    <mergeCell ref="Y59:Y60"/>
    <mergeCell ref="AO59:AO60"/>
    <mergeCell ref="AP59:AP60"/>
    <mergeCell ref="AQ59:AQ60"/>
    <mergeCell ref="AR59:AR60"/>
    <mergeCell ref="AS59:AS60"/>
    <mergeCell ref="AT59:AT60"/>
    <mergeCell ref="AN59:AN60"/>
    <mergeCell ref="Z59:Z60"/>
    <mergeCell ref="AA59:AA60"/>
    <mergeCell ref="AB59:AB60"/>
    <mergeCell ref="AC59:AC60"/>
    <mergeCell ref="AD59:AD60"/>
    <mergeCell ref="AE59:AE60"/>
    <mergeCell ref="AF59:AF60"/>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O61:O62"/>
    <mergeCell ref="P61:P62"/>
    <mergeCell ref="Q61:Q62"/>
    <mergeCell ref="R61:R62"/>
    <mergeCell ref="W61:W62"/>
    <mergeCell ref="X61:X62"/>
    <mergeCell ref="Y61:Y62"/>
    <mergeCell ref="AO61:AO62"/>
    <mergeCell ref="AP61:AP62"/>
    <mergeCell ref="AQ61:AQ62"/>
    <mergeCell ref="AR61:AR62"/>
    <mergeCell ref="AS61:AS62"/>
    <mergeCell ref="AT61:AT62"/>
    <mergeCell ref="AN61:AN62"/>
    <mergeCell ref="Z61:Z62"/>
    <mergeCell ref="AA61:AA62"/>
    <mergeCell ref="AB61:AB62"/>
    <mergeCell ref="AC61:AC62"/>
    <mergeCell ref="AD61:AD62"/>
    <mergeCell ref="AE61:AE62"/>
    <mergeCell ref="AF61:AF62"/>
    <mergeCell ref="H53:H54"/>
    <mergeCell ref="I53:I54"/>
    <mergeCell ref="J53:J54"/>
    <mergeCell ref="K53:K54"/>
    <mergeCell ref="L53:L54"/>
    <mergeCell ref="M53:M54"/>
    <mergeCell ref="N53:N54"/>
    <mergeCell ref="A53:A54"/>
    <mergeCell ref="B53:B54"/>
    <mergeCell ref="C53:C54"/>
    <mergeCell ref="D53:D54"/>
    <mergeCell ref="E53:E54"/>
    <mergeCell ref="F53:F54"/>
    <mergeCell ref="G53:G54"/>
    <mergeCell ref="O57:O58"/>
    <mergeCell ref="P57:P58"/>
    <mergeCell ref="Q57:Q58"/>
    <mergeCell ref="R57:R58"/>
    <mergeCell ref="H57:H58"/>
    <mergeCell ref="I57:I58"/>
    <mergeCell ref="J57:J58"/>
    <mergeCell ref="K57:K58"/>
    <mergeCell ref="L57:L58"/>
    <mergeCell ref="M57:M58"/>
    <mergeCell ref="N57:N58"/>
    <mergeCell ref="A57:A58"/>
    <mergeCell ref="B57:B58"/>
    <mergeCell ref="C57:C58"/>
    <mergeCell ref="D57:D58"/>
    <mergeCell ref="E57:E58"/>
    <mergeCell ref="F57:F58"/>
    <mergeCell ref="G57:G58"/>
    <mergeCell ref="H59:H60"/>
    <mergeCell ref="I59:I60"/>
    <mergeCell ref="J59:J60"/>
    <mergeCell ref="K59:K60"/>
    <mergeCell ref="L59:L60"/>
    <mergeCell ref="M59:M60"/>
    <mergeCell ref="N59:N60"/>
    <mergeCell ref="A59:A60"/>
    <mergeCell ref="B59:B60"/>
    <mergeCell ref="C59:C60"/>
    <mergeCell ref="D59:D60"/>
    <mergeCell ref="E59:E60"/>
    <mergeCell ref="F59:F60"/>
    <mergeCell ref="G59:G60"/>
    <mergeCell ref="AO63:AO64"/>
    <mergeCell ref="AP63:AP64"/>
    <mergeCell ref="AQ63:AQ64"/>
    <mergeCell ref="AR63:AR64"/>
    <mergeCell ref="AS63:AS64"/>
    <mergeCell ref="AT63:AT64"/>
    <mergeCell ref="AN63:AN64"/>
    <mergeCell ref="AO65:AO66"/>
    <mergeCell ref="AP65:AP66"/>
    <mergeCell ref="AQ65:AQ66"/>
    <mergeCell ref="AR65:AR66"/>
    <mergeCell ref="AS65:AS66"/>
    <mergeCell ref="AT65:AT66"/>
    <mergeCell ref="AN65:AN66"/>
    <mergeCell ref="AO67:AO68"/>
    <mergeCell ref="AP67:AP68"/>
    <mergeCell ref="AQ67:AQ68"/>
    <mergeCell ref="AR67:AR68"/>
    <mergeCell ref="AS67:AS68"/>
    <mergeCell ref="AT67:AT68"/>
    <mergeCell ref="AN67:AN68"/>
    <mergeCell ref="AO71:AO72"/>
    <mergeCell ref="AP71:AP72"/>
    <mergeCell ref="AQ71:AQ72"/>
    <mergeCell ref="AR71:AR72"/>
    <mergeCell ref="AS71:AS72"/>
    <mergeCell ref="AT71:AT72"/>
    <mergeCell ref="AN71:AN72"/>
    <mergeCell ref="AO69:AO70"/>
    <mergeCell ref="AP69:AP70"/>
    <mergeCell ref="AQ69:AQ70"/>
    <mergeCell ref="AR69:AR70"/>
    <mergeCell ref="AS69:AS70"/>
    <mergeCell ref="AT69:AT70"/>
    <mergeCell ref="AN69:AN70"/>
    <mergeCell ref="H71:H72"/>
    <mergeCell ref="I71:I72"/>
    <mergeCell ref="J71:J72"/>
    <mergeCell ref="K71:K72"/>
    <mergeCell ref="L71:L72"/>
    <mergeCell ref="M71:M72"/>
    <mergeCell ref="N71:N72"/>
    <mergeCell ref="Z71:Z72"/>
    <mergeCell ref="AA71:AA72"/>
    <mergeCell ref="AB71:AB72"/>
    <mergeCell ref="AC71:AC72"/>
    <mergeCell ref="AD71:AD72"/>
    <mergeCell ref="AE71:AE72"/>
    <mergeCell ref="AF71:AF72"/>
    <mergeCell ref="O71:O72"/>
    <mergeCell ref="P71:P72"/>
    <mergeCell ref="Q71:Q72"/>
    <mergeCell ref="R71:R72"/>
    <mergeCell ref="W71:W72"/>
    <mergeCell ref="X71:X72"/>
    <mergeCell ref="Y71:Y72"/>
    <mergeCell ref="H67:H68"/>
    <mergeCell ref="I67:I68"/>
    <mergeCell ref="J67:J68"/>
    <mergeCell ref="K67:K68"/>
    <mergeCell ref="L67:L68"/>
    <mergeCell ref="M67:M68"/>
    <mergeCell ref="N67:N68"/>
    <mergeCell ref="Z67:Z68"/>
    <mergeCell ref="AA67:AA68"/>
    <mergeCell ref="AB67:AB68"/>
    <mergeCell ref="AC67:AC68"/>
    <mergeCell ref="AD67:AD68"/>
    <mergeCell ref="AE67:AE68"/>
    <mergeCell ref="AF67:AF68"/>
    <mergeCell ref="O67:O68"/>
    <mergeCell ref="P67:P68"/>
    <mergeCell ref="Q67:Q68"/>
    <mergeCell ref="R67:R68"/>
    <mergeCell ref="W67:W68"/>
    <mergeCell ref="X67:X68"/>
    <mergeCell ref="Y67:Y68"/>
    <mergeCell ref="A67:A68"/>
    <mergeCell ref="B67:B68"/>
    <mergeCell ref="C67:C68"/>
    <mergeCell ref="D67:D68"/>
    <mergeCell ref="E67:E68"/>
    <mergeCell ref="F67:F68"/>
    <mergeCell ref="G67:G68"/>
    <mergeCell ref="Z69:Z70"/>
    <mergeCell ref="AA69:AA70"/>
    <mergeCell ref="AB69:AB70"/>
    <mergeCell ref="AC69:AC70"/>
    <mergeCell ref="AD69:AD70"/>
    <mergeCell ref="AE69:AE70"/>
    <mergeCell ref="AF69:AF70"/>
    <mergeCell ref="O69:O70"/>
    <mergeCell ref="P69:P70"/>
    <mergeCell ref="Q69:Q70"/>
    <mergeCell ref="R69:R70"/>
    <mergeCell ref="W69:W70"/>
    <mergeCell ref="X69:X70"/>
    <mergeCell ref="Y69:Y70"/>
    <mergeCell ref="A71:A72"/>
    <mergeCell ref="B71:B72"/>
    <mergeCell ref="C71:C72"/>
    <mergeCell ref="D71:D72"/>
    <mergeCell ref="E71:E72"/>
    <mergeCell ref="F71:F72"/>
    <mergeCell ref="G71:G72"/>
    <mergeCell ref="H69:H70"/>
    <mergeCell ref="I69:I70"/>
    <mergeCell ref="J69:J70"/>
    <mergeCell ref="K69:K70"/>
    <mergeCell ref="L69:L70"/>
    <mergeCell ref="M69:M70"/>
    <mergeCell ref="N69:N70"/>
    <mergeCell ref="A69:A70"/>
    <mergeCell ref="B69:B70"/>
    <mergeCell ref="C69:C70"/>
    <mergeCell ref="D69:D70"/>
    <mergeCell ref="E69:E70"/>
    <mergeCell ref="F69:F70"/>
    <mergeCell ref="G69:G70"/>
    <mergeCell ref="H73:H74"/>
    <mergeCell ref="I73:I74"/>
    <mergeCell ref="J73:J74"/>
    <mergeCell ref="K73:K74"/>
    <mergeCell ref="L73:L74"/>
    <mergeCell ref="M73:M74"/>
    <mergeCell ref="N73:N74"/>
    <mergeCell ref="O73:O74"/>
    <mergeCell ref="P73:P74"/>
    <mergeCell ref="Q73:Q74"/>
    <mergeCell ref="R73:R74"/>
    <mergeCell ref="W73:W74"/>
    <mergeCell ref="X73:X74"/>
    <mergeCell ref="Y73:Y74"/>
    <mergeCell ref="AO73:AO74"/>
    <mergeCell ref="AP73:AP74"/>
    <mergeCell ref="AQ73:AQ74"/>
    <mergeCell ref="AR73:AR74"/>
    <mergeCell ref="AS73:AS74"/>
    <mergeCell ref="AT73:AT74"/>
    <mergeCell ref="AN73:AN74"/>
    <mergeCell ref="Z73:Z74"/>
    <mergeCell ref="AA73:AA74"/>
    <mergeCell ref="AB73:AB74"/>
    <mergeCell ref="AC73:AC74"/>
    <mergeCell ref="AD73:AD74"/>
    <mergeCell ref="AE73:AE74"/>
    <mergeCell ref="AF73:AF74"/>
    <mergeCell ref="A73:A74"/>
    <mergeCell ref="B73:B74"/>
    <mergeCell ref="C73:C74"/>
    <mergeCell ref="D73:D74"/>
    <mergeCell ref="E73:E74"/>
    <mergeCell ref="F73:F74"/>
    <mergeCell ref="G73:G74"/>
    <mergeCell ref="Z77:Z78"/>
    <mergeCell ref="AA77:AA78"/>
    <mergeCell ref="O77:O78"/>
    <mergeCell ref="P77:P78"/>
    <mergeCell ref="Q77:Q78"/>
    <mergeCell ref="R77:R78"/>
    <mergeCell ref="W77:W78"/>
    <mergeCell ref="X77:X78"/>
    <mergeCell ref="Y77:Y78"/>
    <mergeCell ref="AO75:AO76"/>
    <mergeCell ref="AP75:AP76"/>
    <mergeCell ref="AQ75:AQ76"/>
    <mergeCell ref="AR75:AR76"/>
    <mergeCell ref="AS75:AS76"/>
    <mergeCell ref="AT75:AT76"/>
    <mergeCell ref="AN75:AN76"/>
    <mergeCell ref="AO77:AO78"/>
    <mergeCell ref="AP77:AP78"/>
    <mergeCell ref="AQ77:AQ78"/>
    <mergeCell ref="AR77:AR78"/>
    <mergeCell ref="AS77:AS78"/>
    <mergeCell ref="AT77:AT78"/>
    <mergeCell ref="AN77:AN78"/>
    <mergeCell ref="AO79:AO80"/>
    <mergeCell ref="AP79:AP80"/>
    <mergeCell ref="AQ79:AQ80"/>
    <mergeCell ref="AR79:AR80"/>
    <mergeCell ref="AS79:AS80"/>
    <mergeCell ref="AT79:AT80"/>
    <mergeCell ref="AN79:AN80"/>
    <mergeCell ref="AO83:AO84"/>
    <mergeCell ref="AP83:AP84"/>
    <mergeCell ref="AQ83:AQ84"/>
    <mergeCell ref="AR83:AR84"/>
    <mergeCell ref="AS83:AS84"/>
    <mergeCell ref="AT83:AT84"/>
    <mergeCell ref="AN83:AN84"/>
    <mergeCell ref="AO81:AO82"/>
    <mergeCell ref="AP81:AP82"/>
    <mergeCell ref="AQ81:AQ82"/>
    <mergeCell ref="AR81:AR82"/>
    <mergeCell ref="AS81:AS82"/>
    <mergeCell ref="AT81:AT82"/>
    <mergeCell ref="AN81:AN82"/>
    <mergeCell ref="H75:H76"/>
    <mergeCell ref="I75:I76"/>
    <mergeCell ref="J75:J76"/>
    <mergeCell ref="K75:K76"/>
    <mergeCell ref="L75:L76"/>
    <mergeCell ref="M75:M76"/>
    <mergeCell ref="N75:N76"/>
    <mergeCell ref="O75:O76"/>
    <mergeCell ref="P75:P76"/>
    <mergeCell ref="Q75:Q76"/>
    <mergeCell ref="R75:R76"/>
    <mergeCell ref="W75:W76"/>
    <mergeCell ref="X75:X76"/>
    <mergeCell ref="Y75:Y76"/>
    <mergeCell ref="A75:A76"/>
    <mergeCell ref="B75:B76"/>
    <mergeCell ref="C75:C76"/>
    <mergeCell ref="D75:D76"/>
    <mergeCell ref="E75:E76"/>
    <mergeCell ref="F75:F76"/>
    <mergeCell ref="G75:G76"/>
    <mergeCell ref="H77:H78"/>
    <mergeCell ref="I77:I78"/>
    <mergeCell ref="J77:J78"/>
    <mergeCell ref="K77:K78"/>
    <mergeCell ref="L77:L78"/>
    <mergeCell ref="M77:M78"/>
    <mergeCell ref="N77:N78"/>
    <mergeCell ref="AB77:AB78"/>
    <mergeCell ref="AC77:AC78"/>
    <mergeCell ref="AD77:AD78"/>
    <mergeCell ref="AE77:AE78"/>
    <mergeCell ref="AF77:AF78"/>
    <mergeCell ref="Z75:Z76"/>
    <mergeCell ref="AA75:AA76"/>
    <mergeCell ref="AB75:AB76"/>
    <mergeCell ref="AC75:AC76"/>
    <mergeCell ref="AD75:AD76"/>
    <mergeCell ref="AE75:AE76"/>
    <mergeCell ref="AF75:AF76"/>
    <mergeCell ref="A77:A78"/>
    <mergeCell ref="B77:B78"/>
    <mergeCell ref="C77:C78"/>
    <mergeCell ref="D77:D78"/>
    <mergeCell ref="E77:E78"/>
    <mergeCell ref="F77:F78"/>
    <mergeCell ref="G77:G78"/>
    <mergeCell ref="O83:O84"/>
    <mergeCell ref="P83:P84"/>
    <mergeCell ref="H83:H84"/>
    <mergeCell ref="I83:I84"/>
    <mergeCell ref="J83:J84"/>
    <mergeCell ref="K83:K84"/>
    <mergeCell ref="L83:L84"/>
    <mergeCell ref="M83:M84"/>
    <mergeCell ref="N83:N84"/>
    <mergeCell ref="AB83:AB84"/>
    <mergeCell ref="AC83:AC84"/>
    <mergeCell ref="Q83:Q84"/>
    <mergeCell ref="R83:R84"/>
    <mergeCell ref="W83:W84"/>
    <mergeCell ref="X83:X84"/>
    <mergeCell ref="Y83:Y84"/>
    <mergeCell ref="Z83:Z84"/>
    <mergeCell ref="AA83:AA84"/>
    <mergeCell ref="H79:H80"/>
    <mergeCell ref="I79:I80"/>
    <mergeCell ref="J79:J80"/>
    <mergeCell ref="K79:K80"/>
    <mergeCell ref="L79:L80"/>
    <mergeCell ref="M79:M80"/>
    <mergeCell ref="N79:N80"/>
    <mergeCell ref="Z79:Z80"/>
    <mergeCell ref="AA79:AA80"/>
    <mergeCell ref="AB79:AB80"/>
    <mergeCell ref="AC79:AC80"/>
    <mergeCell ref="AD79:AD80"/>
    <mergeCell ref="AE79:AE80"/>
    <mergeCell ref="AF79:AF80"/>
    <mergeCell ref="O79:O80"/>
    <mergeCell ref="P79:P80"/>
    <mergeCell ref="Q79:Q80"/>
    <mergeCell ref="R79:R80"/>
    <mergeCell ref="W79:W80"/>
    <mergeCell ref="X79:X80"/>
    <mergeCell ref="Y79:Y80"/>
    <mergeCell ref="A79:A80"/>
    <mergeCell ref="B79:B80"/>
    <mergeCell ref="C79:C80"/>
    <mergeCell ref="D79:D80"/>
    <mergeCell ref="E79:E80"/>
    <mergeCell ref="F79:F80"/>
    <mergeCell ref="G79:G80"/>
    <mergeCell ref="O81:O82"/>
    <mergeCell ref="P81:P82"/>
    <mergeCell ref="Q81:Q82"/>
    <mergeCell ref="R81:R82"/>
    <mergeCell ref="W81:W82"/>
    <mergeCell ref="X81:X82"/>
    <mergeCell ref="Y81:Y82"/>
    <mergeCell ref="A83:A84"/>
    <mergeCell ref="B83:B84"/>
    <mergeCell ref="C83:C84"/>
    <mergeCell ref="D83:D84"/>
    <mergeCell ref="E83:E84"/>
    <mergeCell ref="F83:F84"/>
    <mergeCell ref="G83:G84"/>
    <mergeCell ref="AD83:AD84"/>
    <mergeCell ref="AE83:AE84"/>
    <mergeCell ref="AF83:AF84"/>
    <mergeCell ref="Z81:Z82"/>
    <mergeCell ref="AA81:AA82"/>
    <mergeCell ref="AB81:AB82"/>
    <mergeCell ref="AC81:AC82"/>
    <mergeCell ref="AD81:AD82"/>
    <mergeCell ref="AE81:AE82"/>
    <mergeCell ref="AF81:AF82"/>
    <mergeCell ref="H81:H82"/>
    <mergeCell ref="I81:I82"/>
    <mergeCell ref="J81:J82"/>
    <mergeCell ref="K81:K82"/>
    <mergeCell ref="L81:L82"/>
    <mergeCell ref="M81:M82"/>
    <mergeCell ref="N81:N82"/>
    <mergeCell ref="A81:A82"/>
    <mergeCell ref="B81:B82"/>
    <mergeCell ref="C81:C82"/>
    <mergeCell ref="D81:D82"/>
    <mergeCell ref="E81:E82"/>
    <mergeCell ref="F81:F82"/>
    <mergeCell ref="G81:G82"/>
    <mergeCell ref="H85:H86"/>
    <mergeCell ref="I85:I86"/>
    <mergeCell ref="J85:J86"/>
    <mergeCell ref="K85:K86"/>
    <mergeCell ref="L85:L86"/>
    <mergeCell ref="M85:M86"/>
    <mergeCell ref="N85:N86"/>
    <mergeCell ref="O85:O86"/>
    <mergeCell ref="P85:P86"/>
    <mergeCell ref="Q85:Q86"/>
    <mergeCell ref="R85:R86"/>
    <mergeCell ref="W85:W86"/>
    <mergeCell ref="X85:X86"/>
    <mergeCell ref="Y85:Y86"/>
    <mergeCell ref="AO85:AO86"/>
    <mergeCell ref="AP85:AP86"/>
    <mergeCell ref="AQ85:AQ86"/>
    <mergeCell ref="AR85:AR86"/>
    <mergeCell ref="AS85:AS86"/>
    <mergeCell ref="AT85:AT86"/>
    <mergeCell ref="AN85:AN86"/>
    <mergeCell ref="Z85:Z86"/>
    <mergeCell ref="AA85:AA86"/>
    <mergeCell ref="AB85:AB86"/>
    <mergeCell ref="AC85:AC86"/>
    <mergeCell ref="AD85:AD86"/>
    <mergeCell ref="AE85:AE86"/>
    <mergeCell ref="AF85:AF86"/>
    <mergeCell ref="A85:A86"/>
    <mergeCell ref="B85:B86"/>
    <mergeCell ref="C85:C86"/>
    <mergeCell ref="D85:D86"/>
    <mergeCell ref="E85:E86"/>
    <mergeCell ref="F85:F86"/>
    <mergeCell ref="G85:G86"/>
    <mergeCell ref="Z89:Z90"/>
    <mergeCell ref="AA89:AA90"/>
    <mergeCell ref="O89:O90"/>
    <mergeCell ref="P89:P90"/>
    <mergeCell ref="Q89:Q90"/>
    <mergeCell ref="R89:R90"/>
    <mergeCell ref="W89:W90"/>
    <mergeCell ref="X89:X90"/>
    <mergeCell ref="Y89:Y90"/>
    <mergeCell ref="AO87:AO88"/>
    <mergeCell ref="AP87:AP88"/>
    <mergeCell ref="AQ87:AQ88"/>
    <mergeCell ref="AR87:AR88"/>
    <mergeCell ref="AS87:AS88"/>
    <mergeCell ref="AT87:AT88"/>
    <mergeCell ref="AN87:AN88"/>
    <mergeCell ref="AO89:AO90"/>
    <mergeCell ref="AP89:AP90"/>
    <mergeCell ref="AQ89:AQ90"/>
    <mergeCell ref="AR89:AR90"/>
    <mergeCell ref="AS89:AS90"/>
    <mergeCell ref="AT89:AT90"/>
    <mergeCell ref="AN89:AN90"/>
    <mergeCell ref="AO91:AO92"/>
    <mergeCell ref="AP91:AP92"/>
    <mergeCell ref="AQ91:AQ92"/>
    <mergeCell ref="AR91:AR92"/>
    <mergeCell ref="AS91:AS92"/>
    <mergeCell ref="AT91:AT92"/>
    <mergeCell ref="AN91:AN92"/>
    <mergeCell ref="AO95:AO96"/>
    <mergeCell ref="AP95:AP96"/>
    <mergeCell ref="AQ95:AQ96"/>
    <mergeCell ref="AR95:AR96"/>
    <mergeCell ref="AS95:AS96"/>
    <mergeCell ref="AT95:AT96"/>
    <mergeCell ref="AN95:AN96"/>
    <mergeCell ref="AO93:AO94"/>
    <mergeCell ref="AP93:AP94"/>
    <mergeCell ref="AQ93:AQ94"/>
    <mergeCell ref="AR93:AR94"/>
    <mergeCell ref="AS93:AS94"/>
    <mergeCell ref="AT93:AT94"/>
    <mergeCell ref="AN93:AN94"/>
    <mergeCell ref="H87:H88"/>
    <mergeCell ref="I87:I88"/>
    <mergeCell ref="J87:J88"/>
    <mergeCell ref="K87:K88"/>
    <mergeCell ref="L87:L88"/>
    <mergeCell ref="M87:M88"/>
    <mergeCell ref="N87:N88"/>
    <mergeCell ref="O87:O88"/>
    <mergeCell ref="P87:P88"/>
    <mergeCell ref="Q87:Q88"/>
    <mergeCell ref="R87:R88"/>
    <mergeCell ref="W87:W88"/>
    <mergeCell ref="X87:X88"/>
    <mergeCell ref="Y87:Y88"/>
    <mergeCell ref="A87:A88"/>
    <mergeCell ref="B87:B88"/>
    <mergeCell ref="C87:C88"/>
    <mergeCell ref="D87:D88"/>
    <mergeCell ref="E87:E88"/>
    <mergeCell ref="F87:F88"/>
    <mergeCell ref="G87:G88"/>
    <mergeCell ref="H89:H90"/>
    <mergeCell ref="I89:I90"/>
    <mergeCell ref="J89:J90"/>
    <mergeCell ref="K89:K90"/>
    <mergeCell ref="L89:L90"/>
    <mergeCell ref="M89:M90"/>
    <mergeCell ref="N89:N90"/>
    <mergeCell ref="AB89:AB90"/>
    <mergeCell ref="AC89:AC90"/>
    <mergeCell ref="AD89:AD90"/>
    <mergeCell ref="AE89:AE90"/>
    <mergeCell ref="AF89:AF90"/>
    <mergeCell ref="Z87:Z88"/>
    <mergeCell ref="AA87:AA88"/>
    <mergeCell ref="AB87:AB88"/>
    <mergeCell ref="AC87:AC88"/>
    <mergeCell ref="AD87:AD88"/>
    <mergeCell ref="AE87:AE88"/>
    <mergeCell ref="AF87:AF88"/>
    <mergeCell ref="A89:A90"/>
    <mergeCell ref="B89:B90"/>
    <mergeCell ref="C89:C90"/>
    <mergeCell ref="D89:D90"/>
    <mergeCell ref="E89:E90"/>
    <mergeCell ref="F89:F90"/>
    <mergeCell ref="G89:G90"/>
    <mergeCell ref="O95:O96"/>
    <mergeCell ref="P95:P96"/>
    <mergeCell ref="H95:H96"/>
    <mergeCell ref="I95:I96"/>
    <mergeCell ref="J95:J96"/>
    <mergeCell ref="K95:K96"/>
    <mergeCell ref="L95:L96"/>
    <mergeCell ref="M95:M96"/>
    <mergeCell ref="N95:N96"/>
    <mergeCell ref="AB95:AB96"/>
    <mergeCell ref="AC95:AC96"/>
    <mergeCell ref="AD95:AD96"/>
    <mergeCell ref="AE95:AE96"/>
    <mergeCell ref="AF95:AF96"/>
    <mergeCell ref="Q95:Q96"/>
    <mergeCell ref="R95:R96"/>
    <mergeCell ref="W95:W96"/>
    <mergeCell ref="X95:X96"/>
    <mergeCell ref="Y95:Y96"/>
    <mergeCell ref="Z95:Z96"/>
    <mergeCell ref="AA95:AA96"/>
    <mergeCell ref="Z17:Z18"/>
    <mergeCell ref="AA17:AA18"/>
    <mergeCell ref="O17:O18"/>
    <mergeCell ref="P17:P18"/>
    <mergeCell ref="Q17:Q18"/>
    <mergeCell ref="R17:R18"/>
    <mergeCell ref="W17:W18"/>
    <mergeCell ref="X17:X18"/>
    <mergeCell ref="Y17:Y18"/>
    <mergeCell ref="H15:H16"/>
    <mergeCell ref="I15:I16"/>
    <mergeCell ref="J15:J16"/>
    <mergeCell ref="K15:K16"/>
    <mergeCell ref="L15:L16"/>
    <mergeCell ref="M15:M16"/>
    <mergeCell ref="N15:N16"/>
    <mergeCell ref="O15:O16"/>
    <mergeCell ref="P15:P16"/>
    <mergeCell ref="Q15:Q16"/>
    <mergeCell ref="R15:R16"/>
    <mergeCell ref="W15:W16"/>
    <mergeCell ref="X15:X16"/>
    <mergeCell ref="Y15:Y16"/>
    <mergeCell ref="A15:A16"/>
    <mergeCell ref="B15:B16"/>
    <mergeCell ref="C15:C16"/>
    <mergeCell ref="D15:D16"/>
    <mergeCell ref="E15:E16"/>
    <mergeCell ref="F15:F16"/>
    <mergeCell ref="G15:G16"/>
    <mergeCell ref="H17:H18"/>
    <mergeCell ref="I17:I18"/>
    <mergeCell ref="J17:J18"/>
    <mergeCell ref="K17:K18"/>
    <mergeCell ref="L17:L18"/>
    <mergeCell ref="M17:M18"/>
    <mergeCell ref="N17:N18"/>
    <mergeCell ref="AB17:AB18"/>
    <mergeCell ref="AC17:AC18"/>
    <mergeCell ref="AD17:AD18"/>
    <mergeCell ref="AE17:AE18"/>
    <mergeCell ref="AF17:AF18"/>
    <mergeCell ref="Z15:Z16"/>
    <mergeCell ref="AA15:AA16"/>
    <mergeCell ref="AB15:AB16"/>
    <mergeCell ref="AC15:AC16"/>
    <mergeCell ref="AD15:AD16"/>
    <mergeCell ref="AE15:AE16"/>
    <mergeCell ref="AF15:AF16"/>
    <mergeCell ref="A17:A18"/>
    <mergeCell ref="B17:B18"/>
    <mergeCell ref="C17:C18"/>
    <mergeCell ref="D17:D18"/>
    <mergeCell ref="E17:E18"/>
    <mergeCell ref="F17:F18"/>
    <mergeCell ref="G17:G18"/>
    <mergeCell ref="AB7:AB8"/>
    <mergeCell ref="AC7:AC8"/>
    <mergeCell ref="AD7:AD8"/>
    <mergeCell ref="AE7:AE8"/>
    <mergeCell ref="AF7:AF8"/>
    <mergeCell ref="AO7:AO8"/>
    <mergeCell ref="AN7:AN8"/>
    <mergeCell ref="AS9:AS10"/>
    <mergeCell ref="AT9:AT10"/>
    <mergeCell ref="AP7:AP8"/>
    <mergeCell ref="AQ7:AQ8"/>
    <mergeCell ref="AO9:AO10"/>
    <mergeCell ref="AP9:AP10"/>
    <mergeCell ref="AQ9:AQ10"/>
    <mergeCell ref="AR9:AR10"/>
    <mergeCell ref="AN9:AN10"/>
    <mergeCell ref="A1:V1"/>
    <mergeCell ref="A2:B2"/>
    <mergeCell ref="C2:I2"/>
    <mergeCell ref="K2:N2"/>
    <mergeCell ref="C3:I3"/>
    <mergeCell ref="K3:N3"/>
    <mergeCell ref="A4:O4"/>
    <mergeCell ref="I5:I6"/>
    <mergeCell ref="J5:J6"/>
    <mergeCell ref="K5:L5"/>
    <mergeCell ref="M5:P5"/>
    <mergeCell ref="Q5:R5"/>
    <mergeCell ref="S5:V5"/>
    <mergeCell ref="W5:X5"/>
    <mergeCell ref="AQ5:AQ6"/>
    <mergeCell ref="AR5:AS5"/>
    <mergeCell ref="AT5:AT6"/>
    <mergeCell ref="AR7:AR8"/>
    <mergeCell ref="AS7:AS8"/>
    <mergeCell ref="AT7:AT8"/>
    <mergeCell ref="Y5:AD5"/>
    <mergeCell ref="AE5:AE6"/>
    <mergeCell ref="AF5:AF6"/>
    <mergeCell ref="AG5:AM5"/>
    <mergeCell ref="AO5:AO6"/>
    <mergeCell ref="AP5:AP6"/>
    <mergeCell ref="AN5:AN6"/>
    <mergeCell ref="A3:B3"/>
    <mergeCell ref="A5:A6"/>
    <mergeCell ref="B5:B6"/>
    <mergeCell ref="C5:C6"/>
    <mergeCell ref="D5:F5"/>
    <mergeCell ref="G5:G6"/>
    <mergeCell ref="H5:H6"/>
    <mergeCell ref="A7:A8"/>
    <mergeCell ref="B7:B8"/>
    <mergeCell ref="C7:C8"/>
    <mergeCell ref="D7:D8"/>
    <mergeCell ref="E7:E8"/>
    <mergeCell ref="F7:F8"/>
    <mergeCell ref="G7:G8"/>
    <mergeCell ref="H7:H8"/>
    <mergeCell ref="I7:I8"/>
    <mergeCell ref="J7:J8"/>
    <mergeCell ref="K7:K8"/>
    <mergeCell ref="L7:L8"/>
    <mergeCell ref="M7:M8"/>
    <mergeCell ref="N7:N8"/>
    <mergeCell ref="Q11:Q12"/>
    <mergeCell ref="R11:R12"/>
    <mergeCell ref="W11:W12"/>
    <mergeCell ref="X11:X12"/>
    <mergeCell ref="Y11:Y12"/>
    <mergeCell ref="Z11:Z12"/>
    <mergeCell ref="AA11:AA12"/>
    <mergeCell ref="AS11:AS12"/>
    <mergeCell ref="AT11:AT12"/>
    <mergeCell ref="AB11:AB12"/>
    <mergeCell ref="AC11:AC12"/>
    <mergeCell ref="AO11:AO12"/>
    <mergeCell ref="AP11:AP12"/>
    <mergeCell ref="AQ11:AQ12"/>
    <mergeCell ref="AR11:AR12"/>
    <mergeCell ref="AN11:AN12"/>
    <mergeCell ref="Z7:Z8"/>
    <mergeCell ref="AA7:AA8"/>
    <mergeCell ref="O7:O8"/>
    <mergeCell ref="P7:P8"/>
    <mergeCell ref="Q7:Q8"/>
    <mergeCell ref="R7:R8"/>
    <mergeCell ref="W7:W8"/>
    <mergeCell ref="X7:X8"/>
    <mergeCell ref="Y7:Y8"/>
    <mergeCell ref="H9:H10"/>
    <mergeCell ref="I9:I10"/>
    <mergeCell ref="J9:J10"/>
    <mergeCell ref="K9:K10"/>
    <mergeCell ref="L9:L10"/>
    <mergeCell ref="M9:M10"/>
    <mergeCell ref="N9:N10"/>
    <mergeCell ref="O9:O10"/>
    <mergeCell ref="P9:P10"/>
    <mergeCell ref="Q9:Q10"/>
    <mergeCell ref="R9:R10"/>
    <mergeCell ref="W9:W10"/>
    <mergeCell ref="X9:X10"/>
    <mergeCell ref="Y9:Y10"/>
    <mergeCell ref="A9:A10"/>
    <mergeCell ref="B9:B10"/>
    <mergeCell ref="C9:C10"/>
    <mergeCell ref="D9:D10"/>
    <mergeCell ref="E9:E10"/>
    <mergeCell ref="F9:F10"/>
    <mergeCell ref="G9:G10"/>
    <mergeCell ref="A11:A12"/>
    <mergeCell ref="B11:B12"/>
    <mergeCell ref="C11:C12"/>
    <mergeCell ref="D11:D12"/>
    <mergeCell ref="E11:E12"/>
    <mergeCell ref="F11:F12"/>
    <mergeCell ref="G11:G12"/>
    <mergeCell ref="AD11:AD12"/>
    <mergeCell ref="AE11:AE12"/>
    <mergeCell ref="AF11:AF12"/>
    <mergeCell ref="Z9:Z10"/>
    <mergeCell ref="AA9:AA10"/>
    <mergeCell ref="AB9:AB10"/>
    <mergeCell ref="AC9:AC10"/>
    <mergeCell ref="AD9:AD10"/>
    <mergeCell ref="AE9:AE10"/>
    <mergeCell ref="AF9:AF10"/>
    <mergeCell ref="O11:O12"/>
    <mergeCell ref="P11:P12"/>
    <mergeCell ref="H11:H12"/>
    <mergeCell ref="I11:I12"/>
    <mergeCell ref="J11:J12"/>
    <mergeCell ref="K11:K12"/>
    <mergeCell ref="L11:L12"/>
    <mergeCell ref="M11:M12"/>
    <mergeCell ref="N11:N12"/>
    <mergeCell ref="H13:H14"/>
    <mergeCell ref="I13:I14"/>
    <mergeCell ref="J13:J14"/>
    <mergeCell ref="K13:K14"/>
    <mergeCell ref="L13:L14"/>
    <mergeCell ref="M13:M14"/>
    <mergeCell ref="N13:N14"/>
    <mergeCell ref="O13:O14"/>
    <mergeCell ref="P13:P14"/>
    <mergeCell ref="Q13:Q14"/>
    <mergeCell ref="R13:R14"/>
    <mergeCell ref="W13:W14"/>
    <mergeCell ref="X13:X14"/>
    <mergeCell ref="Y13:Y14"/>
    <mergeCell ref="AO13:AO14"/>
    <mergeCell ref="AP13:AP14"/>
    <mergeCell ref="AQ13:AQ14"/>
    <mergeCell ref="AR13:AR14"/>
    <mergeCell ref="AS13:AS14"/>
    <mergeCell ref="AT13:AT14"/>
    <mergeCell ref="AN13:AN14"/>
    <mergeCell ref="Z13:Z14"/>
    <mergeCell ref="AA13:AA14"/>
    <mergeCell ref="AB13:AB14"/>
    <mergeCell ref="AC13:AC14"/>
    <mergeCell ref="AD13:AD14"/>
    <mergeCell ref="AE13:AE14"/>
    <mergeCell ref="AF13:AF14"/>
    <mergeCell ref="A13:A14"/>
    <mergeCell ref="B13:B14"/>
    <mergeCell ref="C13:C14"/>
    <mergeCell ref="D13:D14"/>
    <mergeCell ref="E13:E14"/>
    <mergeCell ref="F13:F14"/>
    <mergeCell ref="G13:G14"/>
    <mergeCell ref="AO15:AO16"/>
    <mergeCell ref="AP15:AP16"/>
    <mergeCell ref="AQ15:AQ16"/>
    <mergeCell ref="AR15:AR16"/>
    <mergeCell ref="AS15:AS16"/>
    <mergeCell ref="AT15:AT16"/>
    <mergeCell ref="AN15:AN16"/>
    <mergeCell ref="AO17:AO18"/>
    <mergeCell ref="AP17:AP18"/>
    <mergeCell ref="AQ17:AQ18"/>
    <mergeCell ref="AR17:AR18"/>
    <mergeCell ref="AS17:AS18"/>
    <mergeCell ref="AT17:AT18"/>
    <mergeCell ref="AN17:AN18"/>
    <mergeCell ref="AO19:AO20"/>
    <mergeCell ref="AP19:AP20"/>
    <mergeCell ref="AQ19:AQ20"/>
    <mergeCell ref="AR19:AR20"/>
    <mergeCell ref="AS19:AS20"/>
    <mergeCell ref="AT19:AT20"/>
    <mergeCell ref="AN19:AN20"/>
    <mergeCell ref="AO23:AO24"/>
    <mergeCell ref="AP23:AP24"/>
    <mergeCell ref="AQ23:AQ24"/>
    <mergeCell ref="AR23:AR24"/>
    <mergeCell ref="AS23:AS24"/>
    <mergeCell ref="AT23:AT24"/>
    <mergeCell ref="AN23:AN24"/>
    <mergeCell ref="AO21:AO22"/>
    <mergeCell ref="AP21:AP22"/>
    <mergeCell ref="AQ21:AQ22"/>
    <mergeCell ref="AR21:AR22"/>
    <mergeCell ref="AS21:AS22"/>
    <mergeCell ref="AT21:AT22"/>
    <mergeCell ref="AN21:AN22"/>
    <mergeCell ref="O23:O24"/>
    <mergeCell ref="P23:P24"/>
    <mergeCell ref="H23:H24"/>
    <mergeCell ref="I23:I24"/>
    <mergeCell ref="J23:J24"/>
    <mergeCell ref="K23:K24"/>
    <mergeCell ref="L23:L24"/>
    <mergeCell ref="M23:M24"/>
    <mergeCell ref="N23:N24"/>
    <mergeCell ref="Z33:Z34"/>
    <mergeCell ref="AA33:AA34"/>
    <mergeCell ref="O33:O34"/>
    <mergeCell ref="P33:P34"/>
    <mergeCell ref="Q33:Q34"/>
    <mergeCell ref="R33:R34"/>
    <mergeCell ref="W33:W34"/>
    <mergeCell ref="X33:X34"/>
    <mergeCell ref="Y33:Y34"/>
    <mergeCell ref="H31:H32"/>
    <mergeCell ref="I31:I32"/>
    <mergeCell ref="J31:J32"/>
    <mergeCell ref="K31:K32"/>
    <mergeCell ref="L31:L32"/>
    <mergeCell ref="M31:M32"/>
    <mergeCell ref="N31:N32"/>
    <mergeCell ref="O31:O32"/>
    <mergeCell ref="P31:P32"/>
    <mergeCell ref="Q31:Q32"/>
    <mergeCell ref="R31:R32"/>
    <mergeCell ref="W31:W32"/>
    <mergeCell ref="X31:X32"/>
    <mergeCell ref="Y31:Y32"/>
    <mergeCell ref="A31:A32"/>
    <mergeCell ref="B31:B32"/>
    <mergeCell ref="C31:C32"/>
    <mergeCell ref="D31:D32"/>
    <mergeCell ref="E31:E32"/>
    <mergeCell ref="F31:F32"/>
    <mergeCell ref="G31:G32"/>
    <mergeCell ref="H33:H34"/>
    <mergeCell ref="I33:I34"/>
    <mergeCell ref="J33:J34"/>
    <mergeCell ref="K33:K34"/>
    <mergeCell ref="L33:L34"/>
    <mergeCell ref="M33:M34"/>
    <mergeCell ref="N33:N34"/>
    <mergeCell ref="AB33:AB34"/>
    <mergeCell ref="AC33:AC34"/>
    <mergeCell ref="AD33:AD34"/>
    <mergeCell ref="AE33:AE34"/>
    <mergeCell ref="AF33:AF34"/>
    <mergeCell ref="Z31:Z32"/>
    <mergeCell ref="AA31:AA32"/>
    <mergeCell ref="AB31:AB32"/>
    <mergeCell ref="AC31:AC32"/>
    <mergeCell ref="AD31:AD32"/>
    <mergeCell ref="AE31:AE32"/>
    <mergeCell ref="AF31:AF32"/>
    <mergeCell ref="A33:A34"/>
    <mergeCell ref="B33:B34"/>
    <mergeCell ref="C33:C34"/>
    <mergeCell ref="D33:D34"/>
    <mergeCell ref="E33:E34"/>
    <mergeCell ref="F33:F34"/>
    <mergeCell ref="G33:G34"/>
    <mergeCell ref="AB23:AB24"/>
    <mergeCell ref="AC23:AC24"/>
    <mergeCell ref="Q23:Q24"/>
    <mergeCell ref="R23:R24"/>
    <mergeCell ref="W23:W24"/>
    <mergeCell ref="X23:X24"/>
    <mergeCell ref="Y23:Y24"/>
    <mergeCell ref="Z23:Z24"/>
    <mergeCell ref="AA23:AA24"/>
    <mergeCell ref="W25:W26"/>
    <mergeCell ref="X25:X26"/>
    <mergeCell ref="Y25:Y26"/>
    <mergeCell ref="Z25:Z26"/>
    <mergeCell ref="AA25:AA26"/>
    <mergeCell ref="AB25:AB26"/>
    <mergeCell ref="AC25:AC26"/>
    <mergeCell ref="AR25:AR26"/>
    <mergeCell ref="AS25:AS26"/>
    <mergeCell ref="AT25:AT26"/>
    <mergeCell ref="AD25:AD26"/>
    <mergeCell ref="AE25:AE26"/>
    <mergeCell ref="AF25:AF26"/>
    <mergeCell ref="AO25:AO26"/>
    <mergeCell ref="AP25:AP26"/>
    <mergeCell ref="AQ25:AQ26"/>
    <mergeCell ref="AN25:AN26"/>
    <mergeCell ref="H19:H20"/>
    <mergeCell ref="I19:I20"/>
    <mergeCell ref="J19:J20"/>
    <mergeCell ref="K19:K20"/>
    <mergeCell ref="L19:L20"/>
    <mergeCell ref="M19:M20"/>
    <mergeCell ref="N19:N20"/>
    <mergeCell ref="Z19:Z20"/>
    <mergeCell ref="AA19:AA20"/>
    <mergeCell ref="AB19:AB20"/>
    <mergeCell ref="AC19:AC20"/>
    <mergeCell ref="AD19:AD20"/>
    <mergeCell ref="AE19:AE20"/>
    <mergeCell ref="AF19:AF20"/>
    <mergeCell ref="O19:O20"/>
    <mergeCell ref="P19:P20"/>
    <mergeCell ref="Q19:Q20"/>
    <mergeCell ref="R19:R20"/>
    <mergeCell ref="W19:W20"/>
    <mergeCell ref="X19:X20"/>
    <mergeCell ref="Y19:Y20"/>
    <mergeCell ref="A19:A20"/>
    <mergeCell ref="B19:B20"/>
    <mergeCell ref="C19:C20"/>
    <mergeCell ref="D19:D20"/>
    <mergeCell ref="E19:E20"/>
    <mergeCell ref="F19:F20"/>
    <mergeCell ref="G19:G20"/>
    <mergeCell ref="O21:O22"/>
    <mergeCell ref="P21:P22"/>
    <mergeCell ref="Q21:Q22"/>
    <mergeCell ref="R21:R22"/>
    <mergeCell ref="W21:W22"/>
    <mergeCell ref="X21:X22"/>
    <mergeCell ref="Y21:Y22"/>
    <mergeCell ref="A23:A24"/>
    <mergeCell ref="B23:B24"/>
    <mergeCell ref="C23:C24"/>
    <mergeCell ref="D23:D24"/>
    <mergeCell ref="E23:E24"/>
    <mergeCell ref="F23:F24"/>
    <mergeCell ref="G23:G24"/>
    <mergeCell ref="AD23:AD24"/>
    <mergeCell ref="AE23:AE24"/>
    <mergeCell ref="AF23:AF24"/>
    <mergeCell ref="Z21:Z22"/>
    <mergeCell ref="AA21:AA22"/>
    <mergeCell ref="AB21:AB22"/>
    <mergeCell ref="AC21:AC22"/>
    <mergeCell ref="AD21:AD22"/>
    <mergeCell ref="AE21:AE22"/>
    <mergeCell ref="AF21:AF22"/>
    <mergeCell ref="O27:O28"/>
    <mergeCell ref="P27:P28"/>
    <mergeCell ref="Q27:Q28"/>
    <mergeCell ref="R27:R28"/>
    <mergeCell ref="W27:W28"/>
    <mergeCell ref="X27:X28"/>
    <mergeCell ref="Y27:Y28"/>
    <mergeCell ref="AO27:AO28"/>
    <mergeCell ref="AP27:AP28"/>
    <mergeCell ref="AQ27:AQ28"/>
    <mergeCell ref="AR27:AR28"/>
    <mergeCell ref="AS27:AS28"/>
    <mergeCell ref="AT27:AT28"/>
    <mergeCell ref="AN27:AN28"/>
    <mergeCell ref="Z27:Z28"/>
    <mergeCell ref="AA27:AA28"/>
    <mergeCell ref="AB27:AB28"/>
    <mergeCell ref="AC27:AC28"/>
    <mergeCell ref="AD27:AD28"/>
    <mergeCell ref="AE27:AE28"/>
    <mergeCell ref="AF27:AF28"/>
    <mergeCell ref="A29:A30"/>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W29:W30"/>
    <mergeCell ref="X29:X30"/>
    <mergeCell ref="Y29:Y30"/>
    <mergeCell ref="AO29:AO30"/>
    <mergeCell ref="AP29:AP30"/>
    <mergeCell ref="AQ29:AQ30"/>
    <mergeCell ref="AR29:AR30"/>
    <mergeCell ref="AS29:AS30"/>
    <mergeCell ref="AT29:AT30"/>
    <mergeCell ref="AN29:AN30"/>
    <mergeCell ref="Z29:Z30"/>
    <mergeCell ref="AA29:AA30"/>
    <mergeCell ref="AB29:AB30"/>
    <mergeCell ref="AC29:AC30"/>
    <mergeCell ref="AD29:AD30"/>
    <mergeCell ref="AE29:AE30"/>
    <mergeCell ref="AF29:AF30"/>
    <mergeCell ref="H21:H22"/>
    <mergeCell ref="I21:I22"/>
    <mergeCell ref="J21:J22"/>
    <mergeCell ref="K21:K22"/>
    <mergeCell ref="L21:L22"/>
    <mergeCell ref="M21:M22"/>
    <mergeCell ref="N21:N22"/>
    <mergeCell ref="A21:A22"/>
    <mergeCell ref="B21:B22"/>
    <mergeCell ref="C21:C22"/>
    <mergeCell ref="D21:D22"/>
    <mergeCell ref="E21:E22"/>
    <mergeCell ref="F21:F22"/>
    <mergeCell ref="G21:G22"/>
    <mergeCell ref="O25:O26"/>
    <mergeCell ref="P25:P26"/>
    <mergeCell ref="Q25:Q26"/>
    <mergeCell ref="R25:R26"/>
    <mergeCell ref="H25:H26"/>
    <mergeCell ref="I25:I26"/>
    <mergeCell ref="J25:J26"/>
    <mergeCell ref="K25:K26"/>
    <mergeCell ref="L25:L26"/>
    <mergeCell ref="M25:M26"/>
    <mergeCell ref="N25:N26"/>
    <mergeCell ref="A25:A26"/>
    <mergeCell ref="B25:B26"/>
    <mergeCell ref="C25:C26"/>
    <mergeCell ref="D25:D26"/>
    <mergeCell ref="E25:E26"/>
    <mergeCell ref="F25:F26"/>
    <mergeCell ref="G25:G26"/>
    <mergeCell ref="H27:H28"/>
    <mergeCell ref="I27:I28"/>
    <mergeCell ref="J27:J28"/>
    <mergeCell ref="K27:K28"/>
    <mergeCell ref="L27:L28"/>
    <mergeCell ref="M27:M28"/>
    <mergeCell ref="N27:N28"/>
    <mergeCell ref="A27:A28"/>
    <mergeCell ref="B27:B28"/>
    <mergeCell ref="C27:C28"/>
    <mergeCell ref="D27:D28"/>
    <mergeCell ref="E27:E28"/>
    <mergeCell ref="F27:F28"/>
    <mergeCell ref="G27:G28"/>
    <mergeCell ref="AO31:AO32"/>
    <mergeCell ref="AP31:AP32"/>
    <mergeCell ref="AQ31:AQ32"/>
    <mergeCell ref="AR31:AR32"/>
    <mergeCell ref="AS31:AS32"/>
    <mergeCell ref="AT31:AT32"/>
    <mergeCell ref="AN31:AN32"/>
    <mergeCell ref="AO33:AO34"/>
    <mergeCell ref="AP33:AP34"/>
    <mergeCell ref="AQ33:AQ34"/>
    <mergeCell ref="AR33:AR34"/>
    <mergeCell ref="AS33:AS34"/>
    <mergeCell ref="AT33:AT34"/>
    <mergeCell ref="AN33:AN34"/>
    <mergeCell ref="AO35:AO36"/>
    <mergeCell ref="AP35:AP36"/>
    <mergeCell ref="AQ35:AQ36"/>
    <mergeCell ref="AR35:AR36"/>
    <mergeCell ref="AS35:AS36"/>
    <mergeCell ref="AT35:AT36"/>
    <mergeCell ref="AO39:AO40"/>
    <mergeCell ref="AP39:AP40"/>
    <mergeCell ref="AQ39:AQ40"/>
    <mergeCell ref="AR39:AR40"/>
    <mergeCell ref="AS39:AS40"/>
    <mergeCell ref="AT39:AT40"/>
    <mergeCell ref="AO37:AO38"/>
    <mergeCell ref="AP37:AP38"/>
    <mergeCell ref="AQ37:AQ38"/>
    <mergeCell ref="AR37:AR38"/>
    <mergeCell ref="AS37:AS38"/>
    <mergeCell ref="AT37:AT38"/>
    <mergeCell ref="O39:O40"/>
    <mergeCell ref="P39:P40"/>
    <mergeCell ref="H39:H40"/>
    <mergeCell ref="I39:I40"/>
    <mergeCell ref="J39:J40"/>
    <mergeCell ref="K39:K40"/>
    <mergeCell ref="L39:L40"/>
    <mergeCell ref="M39:M40"/>
    <mergeCell ref="N39:N40"/>
    <mergeCell ref="Z49:Z50"/>
    <mergeCell ref="AA49:AA50"/>
    <mergeCell ref="O49:O50"/>
    <mergeCell ref="P49:P50"/>
    <mergeCell ref="Q49:Q50"/>
    <mergeCell ref="R49:R50"/>
    <mergeCell ref="W49:W50"/>
    <mergeCell ref="X49:X50"/>
    <mergeCell ref="Y49:Y50"/>
    <mergeCell ref="H47:H48"/>
    <mergeCell ref="I47:I48"/>
    <mergeCell ref="J47:J48"/>
    <mergeCell ref="K47:K48"/>
    <mergeCell ref="L47:L48"/>
    <mergeCell ref="M47:M48"/>
    <mergeCell ref="N47:N48"/>
    <mergeCell ref="O47:O48"/>
    <mergeCell ref="P47:P48"/>
    <mergeCell ref="Q47:Q48"/>
    <mergeCell ref="R47:R48"/>
    <mergeCell ref="W47:W48"/>
    <mergeCell ref="X47:X48"/>
    <mergeCell ref="Y47:Y48"/>
    <mergeCell ref="A47:A48"/>
    <mergeCell ref="B47:B48"/>
    <mergeCell ref="C47:C48"/>
    <mergeCell ref="D47:D48"/>
    <mergeCell ref="E47:E48"/>
    <mergeCell ref="F47:F48"/>
    <mergeCell ref="G47:G48"/>
    <mergeCell ref="H49:H50"/>
    <mergeCell ref="I49:I50"/>
    <mergeCell ref="J49:J50"/>
    <mergeCell ref="K49:K50"/>
    <mergeCell ref="L49:L50"/>
    <mergeCell ref="M49:M50"/>
    <mergeCell ref="N49:N50"/>
    <mergeCell ref="AB49:AB50"/>
    <mergeCell ref="AC49:AC50"/>
    <mergeCell ref="AD49:AD50"/>
    <mergeCell ref="AE49:AE50"/>
    <mergeCell ref="AF49:AF50"/>
    <mergeCell ref="Z47:Z48"/>
    <mergeCell ref="AA47:AA48"/>
    <mergeCell ref="AB47:AB48"/>
    <mergeCell ref="AC47:AC48"/>
    <mergeCell ref="AD47:AD48"/>
    <mergeCell ref="AE47:AE48"/>
    <mergeCell ref="AF47:AF48"/>
    <mergeCell ref="A49:A50"/>
    <mergeCell ref="B49:B50"/>
    <mergeCell ref="C49:C50"/>
    <mergeCell ref="D49:D50"/>
    <mergeCell ref="E49:E50"/>
    <mergeCell ref="F49:F50"/>
    <mergeCell ref="G49:G50"/>
    <mergeCell ref="Z65:Z66"/>
    <mergeCell ref="AA65:AA66"/>
    <mergeCell ref="O65:O66"/>
    <mergeCell ref="P65:P66"/>
    <mergeCell ref="Q65:Q66"/>
    <mergeCell ref="R65:R66"/>
    <mergeCell ref="W65:W66"/>
    <mergeCell ref="X65:X66"/>
    <mergeCell ref="Y65:Y66"/>
    <mergeCell ref="H63:H64"/>
    <mergeCell ref="I63:I64"/>
    <mergeCell ref="J63:J64"/>
    <mergeCell ref="K63:K64"/>
    <mergeCell ref="L63:L64"/>
    <mergeCell ref="M63:M64"/>
    <mergeCell ref="N63:N64"/>
    <mergeCell ref="O63:O64"/>
    <mergeCell ref="P63:P64"/>
    <mergeCell ref="Q63:Q64"/>
    <mergeCell ref="R63:R64"/>
    <mergeCell ref="W63:W64"/>
    <mergeCell ref="X63:X64"/>
    <mergeCell ref="Y63:Y64"/>
    <mergeCell ref="A63:A64"/>
    <mergeCell ref="B63:B64"/>
    <mergeCell ref="C63:C64"/>
    <mergeCell ref="D63:D64"/>
    <mergeCell ref="E63:E64"/>
    <mergeCell ref="F63:F64"/>
    <mergeCell ref="G63:G64"/>
    <mergeCell ref="H65:H66"/>
    <mergeCell ref="I65:I66"/>
    <mergeCell ref="J65:J66"/>
    <mergeCell ref="K65:K66"/>
    <mergeCell ref="L65:L66"/>
    <mergeCell ref="M65:M66"/>
    <mergeCell ref="N65:N66"/>
    <mergeCell ref="AB65:AB66"/>
    <mergeCell ref="AC65:AC66"/>
    <mergeCell ref="AD65:AD66"/>
    <mergeCell ref="AE65:AE66"/>
    <mergeCell ref="AF65:AF66"/>
    <mergeCell ref="Z63:Z64"/>
    <mergeCell ref="AA63:AA64"/>
    <mergeCell ref="AB63:AB64"/>
    <mergeCell ref="AC63:AC64"/>
    <mergeCell ref="AD63:AD64"/>
    <mergeCell ref="AE63:AE64"/>
    <mergeCell ref="AF63:AF64"/>
    <mergeCell ref="A65:A66"/>
    <mergeCell ref="B65:B66"/>
    <mergeCell ref="C65:C66"/>
    <mergeCell ref="D65:D66"/>
    <mergeCell ref="E65:E66"/>
    <mergeCell ref="F65:F66"/>
    <mergeCell ref="G65:G66"/>
    <mergeCell ref="H105:H106"/>
    <mergeCell ref="I105:I106"/>
    <mergeCell ref="J105:J106"/>
    <mergeCell ref="K105:K106"/>
    <mergeCell ref="L105:L106"/>
    <mergeCell ref="M105:M106"/>
    <mergeCell ref="N105:N106"/>
    <mergeCell ref="A105:A106"/>
    <mergeCell ref="B105:B106"/>
    <mergeCell ref="C105:C106"/>
    <mergeCell ref="D105:D106"/>
    <mergeCell ref="E105:E106"/>
    <mergeCell ref="F105:F106"/>
    <mergeCell ref="G105:G106"/>
    <mergeCell ref="H103:H104"/>
    <mergeCell ref="I103:I104"/>
    <mergeCell ref="J103:J104"/>
    <mergeCell ref="K103:K104"/>
    <mergeCell ref="L103:L104"/>
    <mergeCell ref="M103:M104"/>
    <mergeCell ref="N103:N104"/>
    <mergeCell ref="Z103:Z104"/>
    <mergeCell ref="AA103:AA104"/>
    <mergeCell ref="AB103:AB104"/>
    <mergeCell ref="AC103:AC104"/>
    <mergeCell ref="AD103:AD104"/>
    <mergeCell ref="AE103:AE104"/>
    <mergeCell ref="AF103:AF104"/>
    <mergeCell ref="O103:O104"/>
    <mergeCell ref="P103:P104"/>
    <mergeCell ref="Q103:Q104"/>
    <mergeCell ref="R103:R104"/>
    <mergeCell ref="W103:W104"/>
    <mergeCell ref="X103:X104"/>
    <mergeCell ref="Y103:Y104"/>
    <mergeCell ref="A103:A104"/>
    <mergeCell ref="B103:B104"/>
    <mergeCell ref="C103:C104"/>
    <mergeCell ref="D103:D104"/>
    <mergeCell ref="E103:E104"/>
    <mergeCell ref="F103:F104"/>
    <mergeCell ref="G103:G104"/>
    <mergeCell ref="O105:O106"/>
    <mergeCell ref="P105:P106"/>
    <mergeCell ref="Q105:Q106"/>
    <mergeCell ref="R105:R106"/>
    <mergeCell ref="W105:W106"/>
    <mergeCell ref="X105:X106"/>
    <mergeCell ref="Y105:Y106"/>
    <mergeCell ref="A107:A108"/>
    <mergeCell ref="B107:B108"/>
    <mergeCell ref="C107:C108"/>
    <mergeCell ref="D107:D108"/>
    <mergeCell ref="E107:E108"/>
    <mergeCell ref="F107:F108"/>
    <mergeCell ref="G107:G108"/>
    <mergeCell ref="AD107:AD108"/>
    <mergeCell ref="AE107:AE108"/>
    <mergeCell ref="AF107:AF108"/>
    <mergeCell ref="Z105:Z106"/>
    <mergeCell ref="AA105:AA106"/>
    <mergeCell ref="AB105:AB106"/>
    <mergeCell ref="AC105:AC106"/>
    <mergeCell ref="AD105:AD106"/>
    <mergeCell ref="AE105:AE106"/>
    <mergeCell ref="AF105:AF106"/>
    <mergeCell ref="H91:H92"/>
    <mergeCell ref="I91:I92"/>
    <mergeCell ref="J91:J92"/>
    <mergeCell ref="K91:K92"/>
    <mergeCell ref="L91:L92"/>
    <mergeCell ref="M91:M92"/>
    <mergeCell ref="N91:N92"/>
    <mergeCell ref="Z91:Z92"/>
    <mergeCell ref="AA91:AA92"/>
    <mergeCell ref="AB91:AB92"/>
    <mergeCell ref="AC91:AC92"/>
    <mergeCell ref="AD91:AD92"/>
    <mergeCell ref="AE91:AE92"/>
    <mergeCell ref="AF91:AF92"/>
    <mergeCell ref="O91:O92"/>
    <mergeCell ref="P91:P92"/>
    <mergeCell ref="Q91:Q92"/>
    <mergeCell ref="R91:R92"/>
    <mergeCell ref="W91:W92"/>
    <mergeCell ref="X91:X92"/>
    <mergeCell ref="Y91:Y92"/>
    <mergeCell ref="A91:A92"/>
    <mergeCell ref="B91:B92"/>
    <mergeCell ref="C91:C92"/>
    <mergeCell ref="D91:D92"/>
    <mergeCell ref="E91:E92"/>
    <mergeCell ref="F91:F92"/>
    <mergeCell ref="G91:G92"/>
    <mergeCell ref="Z93:Z94"/>
    <mergeCell ref="AA93:AA94"/>
    <mergeCell ref="AB93:AB94"/>
    <mergeCell ref="AC93:AC94"/>
    <mergeCell ref="AD93:AD94"/>
    <mergeCell ref="AE93:AE94"/>
    <mergeCell ref="AF93:AF94"/>
    <mergeCell ref="O93:O94"/>
    <mergeCell ref="P93:P94"/>
    <mergeCell ref="Q93:Q94"/>
    <mergeCell ref="R93:R94"/>
    <mergeCell ref="W93:W94"/>
    <mergeCell ref="X93:X94"/>
    <mergeCell ref="Y93:Y94"/>
    <mergeCell ref="A95:A96"/>
    <mergeCell ref="B95:B96"/>
    <mergeCell ref="C95:C96"/>
    <mergeCell ref="D95:D96"/>
    <mergeCell ref="E95:E96"/>
    <mergeCell ref="F95:F96"/>
    <mergeCell ref="G95:G96"/>
    <mergeCell ref="H93:H94"/>
    <mergeCell ref="I93:I94"/>
    <mergeCell ref="J93:J94"/>
    <mergeCell ref="K93:K94"/>
    <mergeCell ref="L93:L94"/>
    <mergeCell ref="M93:M94"/>
    <mergeCell ref="N93:N94"/>
    <mergeCell ref="A93:A94"/>
    <mergeCell ref="B93:B94"/>
    <mergeCell ref="C93:C94"/>
    <mergeCell ref="D93:D94"/>
    <mergeCell ref="E93:E94"/>
    <mergeCell ref="F93:F94"/>
    <mergeCell ref="G93:G94"/>
    <mergeCell ref="H97:H98"/>
    <mergeCell ref="I97:I98"/>
    <mergeCell ref="J97:J98"/>
    <mergeCell ref="K97:K98"/>
    <mergeCell ref="L97:L98"/>
    <mergeCell ref="M97:M98"/>
    <mergeCell ref="N97:N98"/>
    <mergeCell ref="O97:O98"/>
    <mergeCell ref="P97:P98"/>
    <mergeCell ref="Q97:Q98"/>
    <mergeCell ref="R97:R98"/>
    <mergeCell ref="W97:W98"/>
    <mergeCell ref="X97:X98"/>
    <mergeCell ref="Y97:Y98"/>
    <mergeCell ref="AO97:AO98"/>
    <mergeCell ref="AP97:AP98"/>
    <mergeCell ref="AQ97:AQ98"/>
    <mergeCell ref="AR97:AR98"/>
    <mergeCell ref="AS97:AS98"/>
    <mergeCell ref="AT97:AT98"/>
    <mergeCell ref="AN97:AN98"/>
    <mergeCell ref="Z97:Z98"/>
    <mergeCell ref="AA97:AA98"/>
    <mergeCell ref="AB97:AB98"/>
    <mergeCell ref="AC97:AC98"/>
    <mergeCell ref="AD97:AD98"/>
    <mergeCell ref="AE97:AE98"/>
    <mergeCell ref="AF97:AF98"/>
    <mergeCell ref="A97:A98"/>
    <mergeCell ref="B97:B98"/>
    <mergeCell ref="C97:C98"/>
    <mergeCell ref="D97:D98"/>
    <mergeCell ref="E97:E98"/>
    <mergeCell ref="F97:F98"/>
    <mergeCell ref="G97:G98"/>
    <mergeCell ref="Z101:Z102"/>
    <mergeCell ref="AA101:AA102"/>
    <mergeCell ref="O101:O102"/>
    <mergeCell ref="P101:P102"/>
    <mergeCell ref="Q101:Q102"/>
    <mergeCell ref="R101:R102"/>
    <mergeCell ref="W101:W102"/>
    <mergeCell ref="X101:X102"/>
    <mergeCell ref="Y101:Y102"/>
    <mergeCell ref="AO99:AO100"/>
    <mergeCell ref="AP99:AP100"/>
    <mergeCell ref="AQ99:AQ100"/>
    <mergeCell ref="AR99:AR100"/>
    <mergeCell ref="AS99:AS100"/>
    <mergeCell ref="AT99:AT100"/>
    <mergeCell ref="AN99:AN100"/>
    <mergeCell ref="AO101:AO102"/>
    <mergeCell ref="AP101:AP102"/>
    <mergeCell ref="AQ101:AQ102"/>
    <mergeCell ref="AR101:AR102"/>
    <mergeCell ref="AS101:AS102"/>
    <mergeCell ref="AT101:AT102"/>
    <mergeCell ref="AN101:AN102"/>
    <mergeCell ref="AO103:AO104"/>
    <mergeCell ref="AP103:AP104"/>
    <mergeCell ref="AQ103:AQ104"/>
    <mergeCell ref="AR103:AR104"/>
    <mergeCell ref="AS103:AS104"/>
    <mergeCell ref="AT103:AT104"/>
    <mergeCell ref="AN103:AN104"/>
    <mergeCell ref="AO107:AO108"/>
    <mergeCell ref="AP107:AP108"/>
    <mergeCell ref="AQ107:AQ108"/>
    <mergeCell ref="AR107:AR108"/>
    <mergeCell ref="AS107:AS108"/>
    <mergeCell ref="AT107:AT108"/>
    <mergeCell ref="AN107:AN108"/>
    <mergeCell ref="AO105:AO106"/>
    <mergeCell ref="AP105:AP106"/>
    <mergeCell ref="AQ105:AQ106"/>
    <mergeCell ref="AR105:AR106"/>
    <mergeCell ref="AS105:AS106"/>
    <mergeCell ref="AT105:AT106"/>
    <mergeCell ref="AN105:AN106"/>
    <mergeCell ref="H99:H100"/>
    <mergeCell ref="I99:I100"/>
    <mergeCell ref="J99:J100"/>
    <mergeCell ref="K99:K100"/>
    <mergeCell ref="L99:L100"/>
    <mergeCell ref="M99:M100"/>
    <mergeCell ref="N99:N100"/>
    <mergeCell ref="O99:O100"/>
    <mergeCell ref="P99:P100"/>
    <mergeCell ref="Q99:Q100"/>
    <mergeCell ref="R99:R100"/>
    <mergeCell ref="W99:W100"/>
    <mergeCell ref="X99:X100"/>
    <mergeCell ref="Y99:Y100"/>
    <mergeCell ref="A99:A100"/>
    <mergeCell ref="B99:B100"/>
    <mergeCell ref="C99:C100"/>
    <mergeCell ref="D99:D100"/>
    <mergeCell ref="E99:E100"/>
    <mergeCell ref="F99:F100"/>
    <mergeCell ref="G99:G100"/>
    <mergeCell ref="H101:H102"/>
    <mergeCell ref="I101:I102"/>
    <mergeCell ref="J101:J102"/>
    <mergeCell ref="K101:K102"/>
    <mergeCell ref="L101:L102"/>
    <mergeCell ref="M101:M102"/>
    <mergeCell ref="N101:N102"/>
    <mergeCell ref="AB101:AB102"/>
    <mergeCell ref="AC101:AC102"/>
    <mergeCell ref="AD101:AD102"/>
    <mergeCell ref="AE101:AE102"/>
    <mergeCell ref="AF101:AF102"/>
    <mergeCell ref="Z99:Z100"/>
    <mergeCell ref="AA99:AA100"/>
    <mergeCell ref="AB99:AB100"/>
    <mergeCell ref="AC99:AC100"/>
    <mergeCell ref="AD99:AD100"/>
    <mergeCell ref="AE99:AE100"/>
    <mergeCell ref="AF99:AF100"/>
    <mergeCell ref="A101:A102"/>
    <mergeCell ref="B101:B102"/>
    <mergeCell ref="C101:C102"/>
    <mergeCell ref="D101:D102"/>
    <mergeCell ref="E101:E102"/>
    <mergeCell ref="F101:F102"/>
    <mergeCell ref="G101:G102"/>
    <mergeCell ref="O107:O108"/>
    <mergeCell ref="P107:P108"/>
    <mergeCell ref="H107:H108"/>
    <mergeCell ref="I107:I108"/>
    <mergeCell ref="J107:J108"/>
    <mergeCell ref="K107:K108"/>
    <mergeCell ref="L107:L108"/>
    <mergeCell ref="M107:M108"/>
    <mergeCell ref="N107:N108"/>
    <mergeCell ref="AB107:AB108"/>
    <mergeCell ref="AC107:AC108"/>
    <mergeCell ref="Q107:Q108"/>
    <mergeCell ref="R107:R108"/>
    <mergeCell ref="W107:W108"/>
    <mergeCell ref="X107:X108"/>
    <mergeCell ref="Y107:Y108"/>
    <mergeCell ref="Z107:Z108"/>
    <mergeCell ref="AA107:AA108"/>
  </mergeCells>
  <dataValidations>
    <dataValidation type="list" allowBlank="1" showInputMessage="1" showErrorMessage="1" prompt="Nhập sai thông tin - Chọn &quot;X&quot; khi đăng ký. Nếu không thì bỏ trống" sqref="T7:T108">
      <formula1>"X"</formula1>
    </dataValidation>
    <dataValidation type="list" allowBlank="1" showInputMessage="1" showErrorMessage="1" prompt="Nhập sai thông tin - Chọn các vị trí đúng cú pháp" sqref="V7 V9 V11 V13 V15 V17 V19 V21 V23 V25 V27 V29 V31 V33 V35 V37 V39 V41 V43 V45 V47 V49 V51 V53 V55 V57 V59 V61 V63 V65 V67 V69 V71 V73 V75 V77 V79 V81 V83 V85 V87 V89 V91 V93 V95 V97 V99 V101 V103 V105 V107">
      <formula1>"Sempo,Chuken,Taisho,Hokatsu"</formula1>
    </dataValidation>
    <dataValidation type="list" allowBlank="1" showInputMessage="1" showErrorMessage="1" prompt="Nhập sai thông tin - Đề nghị nhập đúng cú pháp: Lớn hơn 2 kyu,2 kyu,1 kyu, 1 Dan, 2 Dan, 3 Dan, 4 Dan, 5 Dan, 6 Dan, 7 Dan" sqref="M7 M9 M11 M13 M15 M17 M19 M21 M23 M25 M27 M29 M31 M33 M35 M37 M39 M41 M43 M45 M47 M49 M51 M53 M55 M57 M59 M61 M63 M65 M67 M69 M71 M73 M75 M77 M79 M81 M83 M85 M87 M89 M91 M93 M95 M97 M99 M101 M103 M105 M107">
      <formula1>"Lớn hơn 2 kyu,2 kyu,1 kyu,1 Dan,2 Dan,3 Dan,4 Dan,5 Dan,6 Dan,7 Dan"</formula1>
    </dataValidation>
    <dataValidation type="list" allowBlank="1" showInputMessage="1" showErrorMessage="1" prompt="Nhập sai thông tin - Chỉ nhập chữ &quot;Nam&quot; hoặc &quot;Nữ&quot;" sqref="C7 C9 C11 C13 C15 C17 C19 C21 C23 C25 C27 C29 C31 C33 C35 C37 C39 C41 C43 C45 C47 C49 C51 C53 C55 C57 C59 C61 C63 C65 C67 C69 C71 C73 C75 C77 C79 C81 C83 C85 C87 C89 C91 C93 C95 C97 C99 C101 C103 C105 C107">
      <formula1>"Nam,Nữ"</formula1>
    </dataValidation>
    <dataValidation type="list" allowBlank="1" showInputMessage="1" showErrorMessage="1" prompt="Nhập sai thông tin - Nhập đúng cú pháp: &quot;Có&quot; hoặc &quot;Không&quot;" sqref="K7 K9 K11 K13 K15 K17 K19 K21 K23 K25 K27 K29 K31 K33 K35 K37 K39 K41 K43 K45 K47 K49 K51 K53 K55 K57 K59 K61 K63 K65 K67 K69 K71 K73 K75 K77 K79 K81 K83 K85 K87 K89 K91 K93 K95 K97 K99 K101 K103 K105 K107">
      <formula1>"Có,Không"</formula1>
    </dataValidation>
    <dataValidation type="list" allowBlank="1" showInputMessage="1" showErrorMessage="1" prompt="Nhập sai thông tin - Chọn &quot;X&quot; nếu đăng ký trọng tài ngày tương ứng" sqref="W7:X7 W9:X9 W11:X11 W13:X13 W15:X15 W17:X17 W19:X19 W21:X21 W23:X23 W25:X25 W27:X27 W29:X29 W31:X31 W33:X33 W35:X35 W37:X37 W39:X39 W41:X41 W43:X43 W45:X45 W47:X47 W49:X49 W51:X51 W53:X53 W55:X55 W57:X57 W59:X59 W61:X61 W63:X63 W65:X65 W67:X67 W69:X69 W71:X71 W73:X73 W75:X75 W77:X77 W79:X79 W81:X81 W83:X83 W85:X85 W87:X87 W89:X89 W91:X91 W93:X93 W95:X95 W97:X97 W99:X99 W101:X101 W103:X103 W105:X105 W107:X107">
      <formula1>"X"</formula1>
    </dataValidation>
    <dataValidation type="list" allowBlank="1" showInputMessage="1" showErrorMessage="1" prompt="Nhập sai thông tin - Chỉ nhập đúng cú pháp: 1 Dan, 2 Dan, 3 Dan, 4 Dan, 5 Dan" sqref="R7 R9 R11 R13 R15 R17 R19 R21 R23 R25 R27 R29 R31 R33 R35 R37 R39 R41 R43 R45 R47 R49 R51 R53 R55 R57 R59 R61 R63 R65 R67 R69 R71 R73 R75 R77 R79 R81 R83 R85 R87 R89 R91 R93 R95 R97 R99 R101 R103 R105 R107">
      <formula1>"1 Dan,2 Dan,3 Dan,4 Dan,5 Dan"</formula1>
    </dataValidation>
    <dataValidation type="list" allowBlank="1" showInputMessage="1" showErrorMessage="1" prompt="Nhập sai thông tin - Chọn các vị trí đúng cú pháp" sqref="V8 V10 V12 V14 V16 V18 V20 V22 V24 V26 V28 V30 V32 V34 V36 V38 V40 V42 V44 V46 V48 V50 V52 V54 V56 V58 V60 V62 V64 V66 V68 V70 V72 V74 V76 V78 V80 V82 V84 V86 V88 V90 V92 V94 V96 V98 V100 V102 V104 V106 V108">
      <formula1>"Sempo,Jiho,Chuken,Fukusho,Taisho,Hokatsu"</formula1>
    </dataValidation>
    <dataValidation type="list" allowBlank="1" showInputMessage="1" showErrorMessage="1" prompt="Nhập sai thông tin - Nhập đúng loại phòng mà mình đăng ký: Phòng đơn, Phòng đôi, Phòng ba" sqref="Y7:AD7 Y9:AD9 Y11:AD11 Y13:AD13 Y15:AD15 Y17:AD17 Y19:AD19 Y21:AD21 Y23:AD23 Y25:AD25 Y27:AD27 Y29:AD29 Y31:AD31 Y33:AD33 Y35:AD35 Y37:AD37 Y39:AD39 Y41:AD41 Y43:AD43 Y45:AD45 Y47:AD47 Y49:AD49 Y51:AD51 Y53:AD53 Y55:AD55 Y57:AD57 Y59:AD59 Y61:AD61 Y63:AD63 Y65:AD65 Y67:AD67 Y69:AD69 Y71:AD71 Y73:AD73 Y75:AD75 Y77:AD77 Y79:AD79 Y81:AD81 Y83:AD83 Y85:AD85 Y87:AD87 Y89:AD89 Y91:AD91 Y93:AD93 Y95:AD95 Y97:AD97 Y99:AD99 Y101:AD101 Y103:AD103 Y105:AD105 Y107:AD107">
      <formula1>"Phòng đơn,Phòng đôi,Phòng ba"</formula1>
    </dataValidation>
    <dataValidation type="list" allowBlank="1" showInputMessage="1" showErrorMessage="1" prompt="Nhập sai thông tin - Chỉ điền &quot;Có&quot; khi đăng ký thi 1 kyu. Trường hợp khác không cần điền" sqref="Q7 Q9 Q11 Q13 Q15 Q17 Q19 Q21 Q23 Q25 Q27 Q29 Q31 Q33 Q35 Q37 Q39 Q41 Q43 Q45 Q47 Q49 Q51 Q53 Q55 Q57 Q59 Q61 Q63 Q65 Q67 Q69 Q71 Q73 Q75 Q77 Q79 Q81 Q83 Q85 Q87 Q89 Q91 Q93 Q95 Q97 Q99 Q101 Q103 Q105 Q107">
      <formula1>"1 Kyu"</formula1>
    </dataValidation>
    <dataValidation type="list" allowBlank="1" showInputMessage="1" showErrorMessage="1" prompt="Nhập sai thông tin - Chỉ nhập &quot;Có&quot; khi tham gia. Không thì để trống" sqref="AF7 AF9 AF11 AF13 AF15 AF17 AF19 AF21 AF23 AF25 AF27 AF29 AF31 AF33 AF35 AF37 AF39 AF41 AF43 AF45 AF47 AF49 AF51 AF53 AF55 AF57 AF59 AF61 AF63 AF65 AF67 AF69 AF71 AF73 AF75 AF77 AF79 AF81 AF83 AF85 AF87 AF89 AF91 AF93 AF95 AF97 AF99 AF101 AF103 AF105 AF107">
      <formula1>"Có"</formula1>
    </dataValidation>
    <dataValidation type="list" allowBlank="1" showInputMessage="1" showErrorMessage="1" prompt="Nhập sai thông tin - Nhập đúng cú pháp &quot;X&quot; vào lựa chọn đăng ký" sqref="AH7:AM7 AH8:AJ8 AL8:AM8 AH9:AM9 AH10:AJ10 AL10:AM10 AH11:AM11 AH12:AJ12 AL12:AM12 AH13:AM13 AH14:AJ14 AL14:AM14 AH15:AM15 AH16:AJ16 AL16:AM16 AH17:AM17 AH18:AJ18 AL18:AM18 AH19:AM19 AH20:AJ20 AL20:AM20 AH21:AM21 AH22:AJ22 AL22:AM22 AH23:AM23 AH24:AJ24 AL24:AM24 AH25:AM25 AH26:AJ26 AL26:AM26 AH27:AM27 AH28:AJ28 AL28:AM28 AH29:AM29 AH30:AJ30 AL30:AM30 AH31:AM31 AH32:AJ32 AL32:AM32 AH33:AM33 AH34:AJ34 AL34:AM34 AH35:AM35 AH36:AJ36 AL36:AM36 AH37:AM37 AH38:AJ38 AL38:AM38 AH39:AM39 AH40:AJ40 AL40:AM40 AH41:AM41 AH42:AJ42 AL42:AM42 AH43:AM43 AH44:AJ44 AL44:AM44 AH45:AM45 AH46:AJ46 AL46:AM46 AH47:AM47 AH48:AJ48 AL48:AM48 AH49:AM49 AH50:AJ50 AL50:AM50 AH51:AM51 AH52:AJ52 AL52:AM52 AH53:AM53 AH54:AJ54 AL54:AM54 AH55:AM55 AH56:AJ56 AL56:AM56 AH57:AM57 AH58:AJ58 AL58:AM58 AH59:AM59 AH60:AJ60 AL60:AM60 AH61:AM61 AH62:AJ62 AL62:AM62 AH63:AM63 AH64:AJ64 AL64:AM64 AH65:AM65 AH66:AJ66 AL66:AM66 AH67:AM67 AH68:AJ68 AL68:AM68 AH69:AM69 AH70:AJ70 AL70:AM70 AH71:AM71 AH72:AJ72 AL72:AM72 AH73:AM73 AH74:AJ74 AL74:AM74 AH75:AM75 AH76:AJ76 AL76:AM76 AH77:AM77 AH78:AJ78 AL78:AM78 AH79:AM79 AH80:AJ80 AL80:AM80 AH81:AM81 AH82:AJ82 AL82:AM82 AH83:AM83 AH84:AJ84 AL84:AM84 AH85:AM85 AH86:AJ86 AL86:AM86 AH87:AM87 AH88:AJ88 AL88:AM88 AH89:AM89 AH90:AJ90 AL90:AM90 AH91:AM91 AH92:AJ92 AL92:AM92 AH93:AM93 AH94:AJ94 AL94:AM94 AH95:AM95 AH96:AJ96 AL96:AM96 AH97:AM97 AH98:AJ98 AL98:AM98 AH99:AM99 AH100:AJ100 AL100:AM100 AH101:AM101 AH102:AJ102 AL102:AM102 AH103:AM103 AH104:AJ104 AL104:AM104 AH105:AM105 AH106:AJ106 AL106:AM106 AH107:AM107 AH108:AJ108 AL108:AM108">
      <formula1>"X"</formula1>
    </dataValidation>
  </dataValidations>
  <hyperlinks>
    <hyperlink r:id="rId2" ref="I7"/>
  </hyperlinks>
  <printOptions/>
  <pageMargins bottom="0.75" footer="0.0" header="0.0" left="0.7" right="0.7" top="0.75"/>
  <pageSetup orientation="landscape"/>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2026-09-14T07:25:41Z</dcterms:created>
  <dc:creator>openpyxl</dc:creator>
</cp:coreProperties>
</file>